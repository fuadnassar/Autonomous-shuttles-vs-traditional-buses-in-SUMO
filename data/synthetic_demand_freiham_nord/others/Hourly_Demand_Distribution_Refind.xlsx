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others/"/>
    </mc:Choice>
  </mc:AlternateContent>
  <xr:revisionPtr revIDLastSave="0" documentId="13_ncr:1_{DFC45043-0F09-0743-B830-AE72600A087D}" xr6:coauthVersionLast="47" xr6:coauthVersionMax="47" xr10:uidLastSave="{00000000-0000-0000-0000-000000000000}"/>
  <bookViews>
    <workbookView xWindow="3040" yWindow="1760" windowWidth="28040" windowHeight="17440" xr2:uid="{8196FC24-CAB2-F447-A089-3844A115F551}"/>
  </bookViews>
  <sheets>
    <sheet name="Hourly_Demand_Distribu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  <c r="J24" i="1"/>
  <c r="J25" i="1"/>
  <c r="J26" i="1"/>
  <c r="J27" i="1"/>
  <c r="J28" i="1"/>
  <c r="J23" i="1"/>
  <c r="H30" i="1"/>
  <c r="G30" i="1"/>
  <c r="G29" i="1"/>
  <c r="G24" i="1"/>
  <c r="G25" i="1"/>
  <c r="G26" i="1"/>
  <c r="G27" i="1"/>
  <c r="G28" i="1"/>
  <c r="G23" i="1"/>
  <c r="C23" i="1"/>
  <c r="C24" i="1"/>
  <c r="C25" i="1"/>
  <c r="C26" i="1"/>
  <c r="B24" i="1"/>
  <c r="B23" i="1"/>
  <c r="B26" i="1"/>
  <c r="B25" i="1" l="1"/>
</calcChain>
</file>

<file path=xl/sharedStrings.xml><?xml version="1.0" encoding="utf-8"?>
<sst xmlns="http://schemas.openxmlformats.org/spreadsheetml/2006/main" count="40" uniqueCount="24">
  <si>
    <t>Display_Time</t>
  </si>
  <si>
    <t>Occupation</t>
  </si>
  <si>
    <t>Education</t>
  </si>
  <si>
    <t>Shopping</t>
  </si>
  <si>
    <t>Errands</t>
  </si>
  <si>
    <t>Leisure</t>
  </si>
  <si>
    <t>Accompaniment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</si>
  <si>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</si>
  <si>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</si>
  <si>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</si>
  <si>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</si>
  <si>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</si>
  <si>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</si>
  <si>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</si>
  <si>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</si>
  <si>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</si>
  <si>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5-6</t>
  </si>
  <si>
    <t>6-7</t>
  </si>
  <si>
    <t>7-8</t>
  </si>
  <si>
    <t>8-9</t>
  </si>
  <si>
    <t>9-10</t>
  </si>
  <si>
    <t>10-11</t>
  </si>
  <si>
    <t>11-12</t>
  </si>
  <si>
    <t>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</si>
</sst>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0" fontId="0" fillId="0" borderId="0" xfId="0" applyNumberFormat="1"/>
    <xf numFmtId="49" fontId="0" fillId="0" borderId="0" xfId="0" applyNumberFormat="1"/>
    <xf numFmtId="10" fontId="0" fillId="33" borderId="0" xfId="0" applyNumberFormat="1" applyFill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49" fontId="0" fillId="0" borderId="13" xfId="0" applyNumberFormat="1" applyBorder="1"/>
    <xf numFmtId="0" fontId="0" fillId="0" borderId="0" xfId="0" applyBorder="1"/>
    <xf numFmtId="10" fontId="0" fillId="0" borderId="14" xfId="0" applyNumberFormat="1" applyBorder="1"/>
    <xf numFmtId="0" fontId="0" fillId="0" borderId="14" xfId="0" applyBorder="1"/>
    <xf numFmtId="49" fontId="0" fillId="0" borderId="15" xfId="0" applyNumberFormat="1" applyBorder="1"/>
    <xf numFmtId="0" fontId="0" fillId="0" borderId="16" xfId="0" applyBorder="1"/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Hourly_Demand_Distribution!$B$1</c:f>
              <c:strCache>
                <c:ptCount val="1"/>
                <c:pt idx="0">
                  <c:v>Occupation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Hourly_Demand_Distribution!$A$2:$A$18</c:f>
              <c:strCache>
                <c:ptCount val="17"/>
                <c:pt idx="0">
                  <c:v>5-6</c:v>
                </c:pt>
                <c:pt idx="1">
                  <c:v>6-7</c:v>
                </c:pt>
                <c:pt idx="2">
                  <c:v>7-8</c:v>
                </c:pt>
                <c:pt idx="3">
                  <c:v>8-9</c:v>
                </c:pt>
                <c:pt idx="4">
                  <c:v>9-10</c:v>
                </c:pt>
                <c:pt idx="5">
                  <c:v>10-11</c:v>
                </c:pt>
                <c:pt idx="6">
                  <c:v>11-12</c:v>
                </c:pt>
                <c:pt idx="7">
                  <c:v>12-13</c:v>
                </c:pt>
                <c:pt idx="8">
                  <c:v>13-14</c:v>
                </c:pt>
                <c:pt idx="9">
                  <c:v>14-15</c:v>
                </c:pt>
                <c:pt idx="10">
                  <c:v>15-16</c:v>
                </c:pt>
                <c:pt idx="11">
                  <c:v>16-17</c:v>
                </c:pt>
                <c:pt idx="12">
                  <c:v>17-18</c:v>
                </c:pt>
                <c:pt idx="13">
                  <c:v>18-19</c:v>
                </c:pt>
                <c:pt idx="14">
                  <c:v>19-20</c:v>
                </c:pt>
                <c:pt idx="15">
                  <c:v>20-21</c:v>
                </c:pt>
                <c:pt idx="16">
                  <c:v>21-22</c:v>
                </c:pt>
              </c:strCache>
            </c:strRef>
          </c:cat>
          <c:val>
            <c:numRef>
              <c:f>Hourly_Demand_Distribution!$B$2:$B$18</c:f>
              <c:numCache>
                <c:formatCode>0.00%</c:formatCode>
                <c:ptCount val="17"/>
                <c:pt idx="0">
                  <c:v>5.9700000000000003E-2</c:v>
                </c:pt>
                <c:pt idx="1">
                  <c:v>0.11940000000000001</c:v>
                </c:pt>
                <c:pt idx="2">
                  <c:v>5.9700000000000003E-2</c:v>
                </c:pt>
                <c:pt idx="3">
                  <c:v>7.7100000000000002E-2</c:v>
                </c:pt>
                <c:pt idx="4">
                  <c:v>7.7100000000000002E-2</c:v>
                </c:pt>
                <c:pt idx="5">
                  <c:v>3.4799999999999998E-2</c:v>
                </c:pt>
                <c:pt idx="6">
                  <c:v>3.4799999999999998E-2</c:v>
                </c:pt>
                <c:pt idx="7">
                  <c:v>3.4799999999999998E-2</c:v>
                </c:pt>
                <c:pt idx="8">
                  <c:v>5.9700000000000003E-2</c:v>
                </c:pt>
                <c:pt idx="9">
                  <c:v>5.9700000000000003E-2</c:v>
                </c:pt>
                <c:pt idx="10">
                  <c:v>5.9700000000000003E-2</c:v>
                </c:pt>
                <c:pt idx="11">
                  <c:v>7.46E-2</c:v>
                </c:pt>
                <c:pt idx="12">
                  <c:v>7.46E-2</c:v>
                </c:pt>
                <c:pt idx="13">
                  <c:v>7.46E-2</c:v>
                </c:pt>
                <c:pt idx="14">
                  <c:v>2.3199999999999998E-2</c:v>
                </c:pt>
                <c:pt idx="15">
                  <c:v>2.3199999999999998E-2</c:v>
                </c:pt>
                <c:pt idx="16">
                  <c:v>2.3199999999999998E-2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7-514D-9215-610C2D9C54FB}"/>
            </c:ext>
          </c:extLst>
        </c:ser>
        <c:ser>
          <c:idx val="1"/>
          <c:order val="1"/>
          <c:tx>
            <c:strRef>
              <c:f>Hourly_Demand_Distribution!$C$1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Hourly_Demand_Distribution!$A$2:$A$18</c:f>
              <c:strCache>
                <c:ptCount val="17"/>
                <c:pt idx="0">
                  <c:v>5-6</c:v>
                </c:pt>
                <c:pt idx="1">
                  <c:v>6-7</c:v>
                </c:pt>
                <c:pt idx="2">
                  <c:v>7-8</c:v>
                </c:pt>
                <c:pt idx="3">
                  <c:v>8-9</c:v>
                </c:pt>
                <c:pt idx="4">
                  <c:v>9-10</c:v>
                </c:pt>
                <c:pt idx="5">
                  <c:v>10-11</c:v>
                </c:pt>
                <c:pt idx="6">
                  <c:v>11-12</c:v>
                </c:pt>
                <c:pt idx="7">
                  <c:v>12-13</c:v>
                </c:pt>
                <c:pt idx="8">
                  <c:v>13-14</c:v>
                </c:pt>
                <c:pt idx="9">
                  <c:v>14-15</c:v>
                </c:pt>
                <c:pt idx="10">
                  <c:v>15-16</c:v>
                </c:pt>
                <c:pt idx="11">
                  <c:v>16-17</c:v>
                </c:pt>
                <c:pt idx="12">
                  <c:v>17-18</c:v>
                </c:pt>
                <c:pt idx="13">
                  <c:v>18-19</c:v>
                </c:pt>
                <c:pt idx="14">
                  <c:v>19-20</c:v>
                </c:pt>
                <c:pt idx="15">
                  <c:v>20-21</c:v>
                </c:pt>
                <c:pt idx="16">
                  <c:v>21-22</c:v>
                </c:pt>
              </c:strCache>
            </c:strRef>
          </c:cat>
          <c:val>
            <c:numRef>
              <c:f>Hourly_Demand_Distribution!$C$2:$C$18</c:f>
              <c:numCache>
                <c:formatCode>0.00%</c:formatCode>
                <c:ptCount val="17"/>
                <c:pt idx="0">
                  <c:v>7.6899999999999996E-2</c:v>
                </c:pt>
                <c:pt idx="1">
                  <c:v>0.15379999999999999</c:v>
                </c:pt>
                <c:pt idx="2">
                  <c:v>7.6899999999999996E-2</c:v>
                </c:pt>
                <c:pt idx="3">
                  <c:v>7.6899999999999996E-2</c:v>
                </c:pt>
                <c:pt idx="4">
                  <c:v>7.6899999999999996E-2</c:v>
                </c:pt>
                <c:pt idx="5">
                  <c:v>2.9899999999999999E-2</c:v>
                </c:pt>
                <c:pt idx="6">
                  <c:v>2.9899999999999999E-2</c:v>
                </c:pt>
                <c:pt idx="7">
                  <c:v>2.9899999999999999E-2</c:v>
                </c:pt>
                <c:pt idx="8">
                  <c:v>0.1026</c:v>
                </c:pt>
                <c:pt idx="9">
                  <c:v>0.1026</c:v>
                </c:pt>
                <c:pt idx="10">
                  <c:v>0.1026</c:v>
                </c:pt>
                <c:pt idx="11">
                  <c:v>4.2700000000000002E-2</c:v>
                </c:pt>
                <c:pt idx="12">
                  <c:v>4.2700000000000002E-2</c:v>
                </c:pt>
                <c:pt idx="13">
                  <c:v>4.2700000000000002E-2</c:v>
                </c:pt>
                <c:pt idx="14">
                  <c:v>4.3E-3</c:v>
                </c:pt>
                <c:pt idx="15">
                  <c:v>4.3E-3</c:v>
                </c:pt>
                <c:pt idx="16">
                  <c:v>4.3E-3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67-514D-9215-610C2D9C54FB}"/>
            </c:ext>
          </c:extLst>
        </c:ser>
        <c:ser>
          <c:idx val="2"/>
          <c:order val="2"/>
          <c:tx>
            <c:strRef>
              <c:f>Hourly_Demand_Distribution!$D$1</c:f>
              <c:strCache>
                <c:ptCount val="1"/>
                <c:pt idx="0">
                  <c:v>Shopping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Hourly_Demand_Distribution!$A$2:$A$18</c:f>
              <c:strCache>
                <c:ptCount val="17"/>
                <c:pt idx="0">
                  <c:v>5-6</c:v>
                </c:pt>
                <c:pt idx="1">
                  <c:v>6-7</c:v>
                </c:pt>
                <c:pt idx="2">
                  <c:v>7-8</c:v>
                </c:pt>
                <c:pt idx="3">
                  <c:v>8-9</c:v>
                </c:pt>
                <c:pt idx="4">
                  <c:v>9-10</c:v>
                </c:pt>
                <c:pt idx="5">
                  <c:v>10-11</c:v>
                </c:pt>
                <c:pt idx="6">
                  <c:v>11-12</c:v>
                </c:pt>
                <c:pt idx="7">
                  <c:v>12-13</c:v>
                </c:pt>
                <c:pt idx="8">
                  <c:v>13-14</c:v>
                </c:pt>
                <c:pt idx="9">
                  <c:v>14-15</c:v>
                </c:pt>
                <c:pt idx="10">
                  <c:v>15-16</c:v>
                </c:pt>
                <c:pt idx="11">
                  <c:v>16-17</c:v>
                </c:pt>
                <c:pt idx="12">
                  <c:v>17-18</c:v>
                </c:pt>
                <c:pt idx="13">
                  <c:v>18-19</c:v>
                </c:pt>
                <c:pt idx="14">
                  <c:v>19-20</c:v>
                </c:pt>
                <c:pt idx="15">
                  <c:v>20-21</c:v>
                </c:pt>
                <c:pt idx="16">
                  <c:v>21-22</c:v>
                </c:pt>
              </c:strCache>
            </c:strRef>
          </c:cat>
          <c:val>
            <c:numRef>
              <c:f>Hourly_Demand_Distribution!$D$2:$D$18</c:f>
              <c:numCache>
                <c:formatCode>0.00%</c:formatCode>
                <c:ptCount val="17"/>
                <c:pt idx="0">
                  <c:v>1.03E-2</c:v>
                </c:pt>
                <c:pt idx="1">
                  <c:v>2.07E-2</c:v>
                </c:pt>
                <c:pt idx="2">
                  <c:v>1.03E-2</c:v>
                </c:pt>
                <c:pt idx="3">
                  <c:v>8.2799999999999999E-2</c:v>
                </c:pt>
                <c:pt idx="4">
                  <c:v>8.2799999999999999E-2</c:v>
                </c:pt>
                <c:pt idx="5">
                  <c:v>0.1149</c:v>
                </c:pt>
                <c:pt idx="6">
                  <c:v>0.1149</c:v>
                </c:pt>
                <c:pt idx="7">
                  <c:v>0.1149</c:v>
                </c:pt>
                <c:pt idx="8">
                  <c:v>5.9799999999999999E-2</c:v>
                </c:pt>
                <c:pt idx="9">
                  <c:v>5.9799999999999999E-2</c:v>
                </c:pt>
                <c:pt idx="10">
                  <c:v>5.9799999999999999E-2</c:v>
                </c:pt>
                <c:pt idx="11">
                  <c:v>6.6699999999999995E-2</c:v>
                </c:pt>
                <c:pt idx="12">
                  <c:v>6.6699999999999995E-2</c:v>
                </c:pt>
                <c:pt idx="13">
                  <c:v>6.6699999999999995E-2</c:v>
                </c:pt>
                <c:pt idx="14">
                  <c:v>2.07E-2</c:v>
                </c:pt>
                <c:pt idx="15">
                  <c:v>2.07E-2</c:v>
                </c:pt>
                <c:pt idx="16">
                  <c:v>2.07E-2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67-514D-9215-610C2D9C54FB}"/>
            </c:ext>
          </c:extLst>
        </c:ser>
        <c:ser>
          <c:idx val="3"/>
          <c:order val="3"/>
          <c:tx>
            <c:strRef>
              <c:f>Hourly_Demand_Distribution!$E$1</c:f>
              <c:strCache>
                <c:ptCount val="1"/>
                <c:pt idx="0">
                  <c:v>Errands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Hourly_Demand_Distribution!$A$2:$A$18</c:f>
              <c:strCache>
                <c:ptCount val="17"/>
                <c:pt idx="0">
                  <c:v>5-6</c:v>
                </c:pt>
                <c:pt idx="1">
                  <c:v>6-7</c:v>
                </c:pt>
                <c:pt idx="2">
                  <c:v>7-8</c:v>
                </c:pt>
                <c:pt idx="3">
                  <c:v>8-9</c:v>
                </c:pt>
                <c:pt idx="4">
                  <c:v>9-10</c:v>
                </c:pt>
                <c:pt idx="5">
                  <c:v>10-11</c:v>
                </c:pt>
                <c:pt idx="6">
                  <c:v>11-12</c:v>
                </c:pt>
                <c:pt idx="7">
                  <c:v>12-13</c:v>
                </c:pt>
                <c:pt idx="8">
                  <c:v>13-14</c:v>
                </c:pt>
                <c:pt idx="9">
                  <c:v>14-15</c:v>
                </c:pt>
                <c:pt idx="10">
                  <c:v>15-16</c:v>
                </c:pt>
                <c:pt idx="11">
                  <c:v>16-17</c:v>
                </c:pt>
                <c:pt idx="12">
                  <c:v>17-18</c:v>
                </c:pt>
                <c:pt idx="13">
                  <c:v>18-19</c:v>
                </c:pt>
                <c:pt idx="14">
                  <c:v>19-20</c:v>
                </c:pt>
                <c:pt idx="15">
                  <c:v>20-21</c:v>
                </c:pt>
                <c:pt idx="16">
                  <c:v>21-22</c:v>
                </c:pt>
              </c:strCache>
            </c:strRef>
          </c:cat>
          <c:val>
            <c:numRef>
              <c:f>Hourly_Demand_Distribution!$E$2:$E$18</c:f>
              <c:numCache>
                <c:formatCode>0.00%</c:formatCode>
                <c:ptCount val="17"/>
                <c:pt idx="0">
                  <c:v>3.7000000000000002E-3</c:v>
                </c:pt>
                <c:pt idx="1">
                  <c:v>7.4000000000000003E-3</c:v>
                </c:pt>
                <c:pt idx="2">
                  <c:v>3.7000000000000002E-3</c:v>
                </c:pt>
                <c:pt idx="3">
                  <c:v>5.1900000000000002E-2</c:v>
                </c:pt>
                <c:pt idx="4">
                  <c:v>5.1900000000000002E-2</c:v>
                </c:pt>
                <c:pt idx="5">
                  <c:v>9.3799999999999994E-2</c:v>
                </c:pt>
                <c:pt idx="6">
                  <c:v>9.3799999999999994E-2</c:v>
                </c:pt>
                <c:pt idx="7">
                  <c:v>9.3799999999999994E-2</c:v>
                </c:pt>
                <c:pt idx="8">
                  <c:v>6.1699999999999998E-2</c:v>
                </c:pt>
                <c:pt idx="9">
                  <c:v>6.1699999999999998E-2</c:v>
                </c:pt>
                <c:pt idx="10">
                  <c:v>6.1699999999999998E-2</c:v>
                </c:pt>
                <c:pt idx="11">
                  <c:v>0.1012</c:v>
                </c:pt>
                <c:pt idx="12">
                  <c:v>0.1012</c:v>
                </c:pt>
                <c:pt idx="13">
                  <c:v>0.1012</c:v>
                </c:pt>
                <c:pt idx="14">
                  <c:v>2.9600000000000001E-2</c:v>
                </c:pt>
                <c:pt idx="15">
                  <c:v>2.9600000000000001E-2</c:v>
                </c:pt>
                <c:pt idx="16">
                  <c:v>2.9600000000000001E-2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67-514D-9215-610C2D9C54FB}"/>
            </c:ext>
          </c:extLst>
        </c:ser>
        <c:ser>
          <c:idx val="4"/>
          <c:order val="4"/>
          <c:tx>
            <c:strRef>
              <c:f>Hourly_Demand_Distribution!$F$1</c:f>
              <c:strCache>
                <c:ptCount val="1"/>
                <c:pt idx="0">
                  <c:v>Leisure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Hourly_Demand_Distribution!$A$2:$A$18</c:f>
              <c:strCache>
                <c:ptCount val="17"/>
                <c:pt idx="0">
                  <c:v>5-6</c:v>
                </c:pt>
                <c:pt idx="1">
                  <c:v>6-7</c:v>
                </c:pt>
                <c:pt idx="2">
                  <c:v>7-8</c:v>
                </c:pt>
                <c:pt idx="3">
                  <c:v>8-9</c:v>
                </c:pt>
                <c:pt idx="4">
                  <c:v>9-10</c:v>
                </c:pt>
                <c:pt idx="5">
                  <c:v>10-11</c:v>
                </c:pt>
                <c:pt idx="6">
                  <c:v>11-12</c:v>
                </c:pt>
                <c:pt idx="7">
                  <c:v>12-13</c:v>
                </c:pt>
                <c:pt idx="8">
                  <c:v>13-14</c:v>
                </c:pt>
                <c:pt idx="9">
                  <c:v>14-15</c:v>
                </c:pt>
                <c:pt idx="10">
                  <c:v>15-16</c:v>
                </c:pt>
                <c:pt idx="11">
                  <c:v>16-17</c:v>
                </c:pt>
                <c:pt idx="12">
                  <c:v>17-18</c:v>
                </c:pt>
                <c:pt idx="13">
                  <c:v>18-19</c:v>
                </c:pt>
                <c:pt idx="14">
                  <c:v>19-20</c:v>
                </c:pt>
                <c:pt idx="15">
                  <c:v>20-21</c:v>
                </c:pt>
                <c:pt idx="16">
                  <c:v>21-22</c:v>
                </c:pt>
              </c:strCache>
            </c:strRef>
          </c:cat>
          <c:val>
            <c:numRef>
              <c:f>Hourly_Demand_Distribution!$F$2:$F$18</c:f>
              <c:numCache>
                <c:formatCode>0.00%</c:formatCode>
                <c:ptCount val="17"/>
                <c:pt idx="0">
                  <c:v>4.4000000000000003E-3</c:v>
                </c:pt>
                <c:pt idx="1">
                  <c:v>8.8000000000000005E-3</c:v>
                </c:pt>
                <c:pt idx="2">
                  <c:v>4.4000000000000003E-3</c:v>
                </c:pt>
                <c:pt idx="3">
                  <c:v>3.5099999999999999E-2</c:v>
                </c:pt>
                <c:pt idx="4">
                  <c:v>3.5099999999999999E-2</c:v>
                </c:pt>
                <c:pt idx="5">
                  <c:v>5.9499999999999997E-2</c:v>
                </c:pt>
                <c:pt idx="6">
                  <c:v>5.9499999999999997E-2</c:v>
                </c:pt>
                <c:pt idx="7">
                  <c:v>5.9499999999999997E-2</c:v>
                </c:pt>
                <c:pt idx="8">
                  <c:v>7.5999999999999998E-2</c:v>
                </c:pt>
                <c:pt idx="9">
                  <c:v>7.5999999999999998E-2</c:v>
                </c:pt>
                <c:pt idx="10">
                  <c:v>7.5999999999999998E-2</c:v>
                </c:pt>
                <c:pt idx="11">
                  <c:v>0.1014</c:v>
                </c:pt>
                <c:pt idx="12">
                  <c:v>0.1014</c:v>
                </c:pt>
                <c:pt idx="13">
                  <c:v>0.1014</c:v>
                </c:pt>
                <c:pt idx="14">
                  <c:v>5.1700000000000003E-2</c:v>
                </c:pt>
                <c:pt idx="15">
                  <c:v>5.1700000000000003E-2</c:v>
                </c:pt>
                <c:pt idx="16">
                  <c:v>5.1700000000000003E-2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67-514D-9215-610C2D9C5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2529504"/>
        <c:axId val="1652842416"/>
      </c:barChart>
      <c:catAx>
        <c:axId val="138252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842416"/>
        <c:crosses val="autoZero"/>
        <c:auto val="1"/>
        <c:lblAlgn val="ctr"/>
        <c:lblOffset val="100"/>
        <c:noMultiLvlLbl val="0"/>
      </c:catAx>
      <c:valAx>
        <c:axId val="165284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52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35560</xdr:colOff>
      <xdr:row>1</xdr:row>
      <xdr:rowOff>0</xdr:rowOff>
    </xdr:from>
    <xdr:to>
      <xdr:col>14</xdr:col>
      <xdr:colOff>492760</xdr:colOff>
      <xdr:row>14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1508C9-FBB0-BBA6-B02D-23CDB9C92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08D5B-A142-C747-BF11-1745EFA4AD70}">
  <dimension ref="A1:K30"/>
  <sheetViews>
    <sheetView tabSelected="1" zoomScale="75" workbookViewId="0">
      <selection activeCell="G23" sqref="F23:G30"/>
    </sheetView>
  </sheetViews>
  <sheetFormatPr baseColWidth="10" defaultRowHeight="16" x14ac:dyDescent="0.2"/>
  <cols>
    <col min="1" max="1" width="10.83203125" style="2"/>
  </cols>
  <sheetData>
    <row r="1" spans="1:7" x14ac:dyDescent="0.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2" t="s">
        <v>16</v>
      </c>
      <c r="B2" s="3">
        <v>5.9700000000000003E-2</v>
      </c>
      <c r="C2" s="3">
        <v>7.6899999999999996E-2</v>
      </c>
      <c r="D2" s="1">
        <v>1.03E-2</v>
      </c>
      <c r="E2" s="1">
        <v>3.7000000000000002E-3</v>
      </c>
      <c r="F2" s="1">
        <v>4.4000000000000003E-3</v>
      </c>
      <c r="G2" s="1">
        <v>1.9400000000000001E-2</v>
      </c>
    </row>
    <row r="3" spans="1:7" x14ac:dyDescent="0.2">
      <c r="A3" s="2" t="s">
        <v>17</v>
      </c>
      <c r="B3" s="3">
        <v>0.11940000000000001</v>
      </c>
      <c r="C3" s="3">
        <v>0.15379999999999999</v>
      </c>
      <c r="D3" s="1">
        <v>2.07E-2</v>
      </c>
      <c r="E3" s="1">
        <v>7.4000000000000003E-3</v>
      </c>
      <c r="F3" s="1">
        <v>8.8000000000000005E-3</v>
      </c>
      <c r="G3" s="1">
        <v>3.8800000000000001E-2</v>
      </c>
    </row>
    <row r="4" spans="1:7" x14ac:dyDescent="0.2">
      <c r="A4" s="2" t="s">
        <v>18</v>
      </c>
      <c r="B4" s="3">
        <v>5.9700000000000003E-2</v>
      </c>
      <c r="C4" s="3">
        <v>7.6899999999999996E-2</v>
      </c>
      <c r="D4" s="1">
        <v>1.03E-2</v>
      </c>
      <c r="E4" s="1">
        <v>3.7000000000000002E-3</v>
      </c>
      <c r="F4" s="1">
        <v>4.4000000000000003E-3</v>
      </c>
      <c r="G4" s="1">
        <v>1.9400000000000001E-2</v>
      </c>
    </row>
    <row r="5" spans="1:7" x14ac:dyDescent="0.2">
      <c r="A5" s="2" t="s">
        <v>19</v>
      </c>
      <c r="B5" s="3">
        <v>7.7100000000000002E-2</v>
      </c>
      <c r="C5" s="3">
        <v>7.6899999999999996E-2</v>
      </c>
      <c r="D5" s="1">
        <v>8.2799999999999999E-2</v>
      </c>
      <c r="E5" s="1">
        <v>5.1900000000000002E-2</v>
      </c>
      <c r="F5" s="1">
        <v>3.5099999999999999E-2</v>
      </c>
      <c r="G5" s="1">
        <v>6.8000000000000005E-2</v>
      </c>
    </row>
    <row r="6" spans="1:7" x14ac:dyDescent="0.2">
      <c r="A6" s="2" t="s">
        <v>20</v>
      </c>
      <c r="B6" s="3">
        <v>7.7100000000000002E-2</v>
      </c>
      <c r="C6" s="3">
        <v>7.6899999999999996E-2</v>
      </c>
      <c r="D6" s="1">
        <v>8.2799999999999999E-2</v>
      </c>
      <c r="E6" s="1">
        <v>5.1900000000000002E-2</v>
      </c>
      <c r="F6" s="1">
        <v>3.5099999999999999E-2</v>
      </c>
      <c r="G6" s="1">
        <v>6.8000000000000005E-2</v>
      </c>
    </row>
    <row r="7" spans="1:7" x14ac:dyDescent="0.2">
      <c r="A7" s="2" t="s">
        <v>21</v>
      </c>
      <c r="B7" s="3">
        <v>3.4799999999999998E-2</v>
      </c>
      <c r="C7" s="3">
        <v>2.9899999999999999E-2</v>
      </c>
      <c r="D7" s="1">
        <v>0.1149</v>
      </c>
      <c r="E7" s="1">
        <v>9.3799999999999994E-2</v>
      </c>
      <c r="F7" s="1">
        <v>5.9499999999999997E-2</v>
      </c>
      <c r="G7" s="1">
        <v>4.53E-2</v>
      </c>
    </row>
    <row r="8" spans="1:7" x14ac:dyDescent="0.2">
      <c r="A8" s="2" t="s">
        <v>22</v>
      </c>
      <c r="B8" s="3">
        <v>3.4799999999999998E-2</v>
      </c>
      <c r="C8" s="1">
        <v>2.9899999999999999E-2</v>
      </c>
      <c r="D8" s="1">
        <v>0.1149</v>
      </c>
      <c r="E8" s="1">
        <v>9.3799999999999994E-2</v>
      </c>
      <c r="F8" s="1">
        <v>5.9499999999999997E-2</v>
      </c>
      <c r="G8" s="1">
        <v>4.53E-2</v>
      </c>
    </row>
    <row r="9" spans="1:7" x14ac:dyDescent="0.2">
      <c r="A9" s="2" t="s">
        <v>23</v>
      </c>
      <c r="B9" s="3">
        <v>3.4799999999999998E-2</v>
      </c>
      <c r="C9" s="1">
        <v>2.9899999999999999E-2</v>
      </c>
      <c r="D9" s="1">
        <v>0.1149</v>
      </c>
      <c r="E9" s="1">
        <v>9.3799999999999994E-2</v>
      </c>
      <c r="F9" s="1">
        <v>5.9499999999999997E-2</v>
      </c>
      <c r="G9" s="1">
        <v>4.53E-2</v>
      </c>
    </row>
    <row r="10" spans="1:7" x14ac:dyDescent="0.2">
      <c r="A10" s="2" t="s">
        <v>7</v>
      </c>
      <c r="B10" s="1">
        <v>5.9700000000000003E-2</v>
      </c>
      <c r="C10" s="1">
        <v>0.1026</v>
      </c>
      <c r="D10" s="1">
        <v>5.9799999999999999E-2</v>
      </c>
      <c r="E10" s="1">
        <v>6.1699999999999998E-2</v>
      </c>
      <c r="F10" s="1">
        <v>7.5999999999999998E-2</v>
      </c>
      <c r="G10" s="1">
        <v>8.09E-2</v>
      </c>
    </row>
    <row r="11" spans="1:7" x14ac:dyDescent="0.2">
      <c r="A11" s="2" t="s">
        <v>8</v>
      </c>
      <c r="B11" s="1">
        <v>5.9700000000000003E-2</v>
      </c>
      <c r="C11" s="1">
        <v>0.1026</v>
      </c>
      <c r="D11" s="1">
        <v>5.9799999999999999E-2</v>
      </c>
      <c r="E11" s="1">
        <v>6.1699999999999998E-2</v>
      </c>
      <c r="F11" s="1">
        <v>7.5999999999999998E-2</v>
      </c>
      <c r="G11" s="1">
        <v>8.09E-2</v>
      </c>
    </row>
    <row r="12" spans="1:7" x14ac:dyDescent="0.2">
      <c r="A12" s="2" t="s">
        <v>9</v>
      </c>
      <c r="B12" s="1">
        <v>5.9700000000000003E-2</v>
      </c>
      <c r="C12" s="1">
        <v>0.1026</v>
      </c>
      <c r="D12" s="1">
        <v>5.9799999999999999E-2</v>
      </c>
      <c r="E12" s="1">
        <v>6.1699999999999998E-2</v>
      </c>
      <c r="F12" s="1">
        <v>7.5999999999999998E-2</v>
      </c>
      <c r="G12" s="1">
        <v>8.09E-2</v>
      </c>
    </row>
    <row r="13" spans="1:7" x14ac:dyDescent="0.2">
      <c r="A13" s="2" t="s">
        <v>10</v>
      </c>
      <c r="B13" s="1">
        <v>7.46E-2</v>
      </c>
      <c r="C13" s="1">
        <v>4.2700000000000002E-2</v>
      </c>
      <c r="D13" s="1">
        <v>6.6699999999999995E-2</v>
      </c>
      <c r="E13" s="1">
        <v>0.1012</v>
      </c>
      <c r="F13" s="1">
        <v>0.1014</v>
      </c>
      <c r="G13" s="1">
        <v>0.1036</v>
      </c>
    </row>
    <row r="14" spans="1:7" x14ac:dyDescent="0.2">
      <c r="A14" s="2" t="s">
        <v>11</v>
      </c>
      <c r="B14" s="1">
        <v>7.46E-2</v>
      </c>
      <c r="C14" s="1">
        <v>4.2700000000000002E-2</v>
      </c>
      <c r="D14" s="1">
        <v>6.6699999999999995E-2</v>
      </c>
      <c r="E14" s="1">
        <v>0.1012</v>
      </c>
      <c r="F14" s="1">
        <v>0.1014</v>
      </c>
      <c r="G14" s="1">
        <v>0.1036</v>
      </c>
    </row>
    <row r="15" spans="1:7" x14ac:dyDescent="0.2">
      <c r="A15" s="2" t="s">
        <v>12</v>
      </c>
      <c r="B15" s="1">
        <v>7.46E-2</v>
      </c>
      <c r="C15" s="1">
        <v>4.2700000000000002E-2</v>
      </c>
      <c r="D15" s="1">
        <v>6.6699999999999995E-2</v>
      </c>
      <c r="E15" s="1">
        <v>0.1012</v>
      </c>
      <c r="F15" s="1">
        <v>0.1014</v>
      </c>
      <c r="G15" s="1">
        <v>0.1036</v>
      </c>
    </row>
    <row r="16" spans="1:7" x14ac:dyDescent="0.2">
      <c r="A16" s="2" t="s">
        <v>13</v>
      </c>
      <c r="B16" s="1">
        <v>2.3199999999999998E-2</v>
      </c>
      <c r="C16" s="1">
        <v>4.3E-3</v>
      </c>
      <c r="D16" s="1">
        <v>2.07E-2</v>
      </c>
      <c r="E16" s="1">
        <v>2.9600000000000001E-2</v>
      </c>
      <c r="F16" s="1">
        <v>5.1700000000000003E-2</v>
      </c>
      <c r="G16" s="1">
        <v>2.5899999999999999E-2</v>
      </c>
    </row>
    <row r="17" spans="1:11" x14ac:dyDescent="0.2">
      <c r="A17" s="2" t="s">
        <v>14</v>
      </c>
      <c r="B17" s="1">
        <v>2.3199999999999998E-2</v>
      </c>
      <c r="C17" s="1">
        <v>4.3E-3</v>
      </c>
      <c r="D17" s="1">
        <v>2.07E-2</v>
      </c>
      <c r="E17" s="1">
        <v>2.9600000000000001E-2</v>
      </c>
      <c r="F17" s="1">
        <v>5.1700000000000003E-2</v>
      </c>
      <c r="G17" s="1">
        <v>2.5899999999999999E-2</v>
      </c>
    </row>
    <row r="18" spans="1:11" x14ac:dyDescent="0.2">
      <c r="A18" s="2" t="s">
        <v>15</v>
      </c>
      <c r="B18" s="1">
        <v>2.3199999999999998E-2</v>
      </c>
      <c r="C18" s="1">
        <v>4.3E-3</v>
      </c>
      <c r="D18" s="1">
        <v>2.07E-2</v>
      </c>
      <c r="E18" s="1">
        <v>2.9600000000000001E-2</v>
      </c>
      <c r="F18" s="1">
        <v>5.1700000000000003E-2</v>
      </c>
      <c r="G18" s="1">
        <v>2.5899999999999999E-2</v>
      </c>
    </row>
    <row r="22" spans="1:11" x14ac:dyDescent="0.2">
      <c r="F22" s="4"/>
      <c r="G22" s="5" t="s">
        <v>1</v>
      </c>
      <c r="H22" s="6"/>
      <c r="I22" s="4"/>
      <c r="J22" s="5" t="s">
        <v>2</v>
      </c>
      <c r="K22" s="6"/>
    </row>
    <row r="23" spans="1:11" x14ac:dyDescent="0.2">
      <c r="B23" s="1">
        <f>SUM(B2:B9)</f>
        <v>0.49740000000000001</v>
      </c>
      <c r="C23" s="1">
        <f>SUM(C2:C7)</f>
        <v>0.4912999999999999</v>
      </c>
      <c r="F23" s="7" t="s">
        <v>16</v>
      </c>
      <c r="G23" s="8">
        <f>B2*2</f>
        <v>0.11940000000000001</v>
      </c>
      <c r="H23" s="9"/>
      <c r="I23" s="7" t="s">
        <v>16</v>
      </c>
      <c r="J23" s="8">
        <f>C2*2</f>
        <v>0.15379999999999999</v>
      </c>
      <c r="K23" s="10"/>
    </row>
    <row r="24" spans="1:11" x14ac:dyDescent="0.2">
      <c r="B24" s="1">
        <f>SUM(B10:B18)</f>
        <v>0.47250000000000003</v>
      </c>
      <c r="C24" s="1">
        <f>SUM(C8:C18)</f>
        <v>0.50860000000000005</v>
      </c>
      <c r="F24" s="7" t="s">
        <v>17</v>
      </c>
      <c r="G24" s="8">
        <f t="shared" ref="G24:G29" si="0">B3*2</f>
        <v>0.23880000000000001</v>
      </c>
      <c r="H24" s="10"/>
      <c r="I24" s="7" t="s">
        <v>17</v>
      </c>
      <c r="J24" s="8">
        <f t="shared" ref="J24:J33" si="1">C3*2</f>
        <v>0.30759999999999998</v>
      </c>
      <c r="K24" s="10"/>
    </row>
    <row r="25" spans="1:11" x14ac:dyDescent="0.2">
      <c r="B25" s="1">
        <f>B24+B23</f>
        <v>0.96989999999999998</v>
      </c>
      <c r="C25" s="1">
        <f t="shared" ref="C25:C26" si="2">SUM(C11:C19)</f>
        <v>0.34620000000000012</v>
      </c>
      <c r="E25" s="1"/>
      <c r="F25" s="7" t="s">
        <v>18</v>
      </c>
      <c r="G25" s="8">
        <f t="shared" si="0"/>
        <v>0.11940000000000001</v>
      </c>
      <c r="H25" s="10"/>
      <c r="I25" s="7" t="s">
        <v>18</v>
      </c>
      <c r="J25" s="8">
        <f t="shared" si="1"/>
        <v>0.15379999999999999</v>
      </c>
      <c r="K25" s="10"/>
    </row>
    <row r="26" spans="1:11" x14ac:dyDescent="0.2">
      <c r="B26" s="1">
        <f>SUM(B2:B18)</f>
        <v>0.96989999999999998</v>
      </c>
      <c r="C26" s="1">
        <f t="shared" si="2"/>
        <v>0.24360000000000001</v>
      </c>
      <c r="E26" s="1"/>
      <c r="F26" s="7" t="s">
        <v>19</v>
      </c>
      <c r="G26" s="8">
        <f t="shared" si="0"/>
        <v>0.1542</v>
      </c>
      <c r="H26" s="10"/>
      <c r="I26" s="7" t="s">
        <v>19</v>
      </c>
      <c r="J26" s="8">
        <f t="shared" si="1"/>
        <v>0.15379999999999999</v>
      </c>
      <c r="K26" s="10"/>
    </row>
    <row r="27" spans="1:11" x14ac:dyDescent="0.2">
      <c r="F27" s="7" t="s">
        <v>20</v>
      </c>
      <c r="G27" s="8">
        <f t="shared" si="0"/>
        <v>0.1542</v>
      </c>
      <c r="H27" s="10"/>
      <c r="I27" s="7" t="s">
        <v>20</v>
      </c>
      <c r="J27" s="8">
        <f t="shared" si="1"/>
        <v>0.15379999999999999</v>
      </c>
      <c r="K27" s="10"/>
    </row>
    <row r="28" spans="1:11" x14ac:dyDescent="0.2">
      <c r="F28" s="7" t="s">
        <v>21</v>
      </c>
      <c r="G28" s="8">
        <f t="shared" si="0"/>
        <v>6.9599999999999995E-2</v>
      </c>
      <c r="H28" s="10"/>
      <c r="I28" s="11" t="s">
        <v>21</v>
      </c>
      <c r="J28" s="12">
        <f t="shared" si="1"/>
        <v>5.9799999999999999E-2</v>
      </c>
      <c r="K28" s="13">
        <f>SUM(J23:J28)</f>
        <v>0.98259999999999981</v>
      </c>
    </row>
    <row r="29" spans="1:11" x14ac:dyDescent="0.2">
      <c r="F29" s="7" t="s">
        <v>22</v>
      </c>
      <c r="G29" s="8">
        <f>B8*2</f>
        <v>6.9599999999999995E-2</v>
      </c>
      <c r="H29" s="10"/>
    </row>
    <row r="30" spans="1:11" x14ac:dyDescent="0.2">
      <c r="F30" s="11" t="s">
        <v>23</v>
      </c>
      <c r="G30" s="12">
        <f>B9*2</f>
        <v>6.9599999999999995E-2</v>
      </c>
      <c r="H30" s="13">
        <f>SUM(G23:G30)</f>
        <v>0.99480000000000002</v>
      </c>
    </row>
  </sheetData>
  <mergeCells count="2">
    <mergeCell ref="J22:K22"/>
    <mergeCell ref="G22:H22"/>
  </mergeCells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Hourly_Demand_Distribution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2026-01-28T09:04:55Z</dcterms:created>
  <dcterms:modified xsi:type="dcterms:W3CDTF">2026-02-03T18:04:26Z</dcterms:modified>
</cp:coreProperties>
</file>