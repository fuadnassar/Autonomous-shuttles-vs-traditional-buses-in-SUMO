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"/>
    </mc:Choice>
  </mc:AlternateContent>
  <xr:revisionPtr revIDLastSave="0" documentId="13_ncr:1_{5DD0E413-6F55-1C4F-8E11-1B5F0BBA1AB1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K5" i="1" s="1"/>
  <c r="H5" i="1"/>
  <c r="I4" i="1"/>
  <c r="J4" i="1" s="1"/>
  <c r="K4" i="1" s="1"/>
  <c r="H4" i="1"/>
  <c r="I3" i="1"/>
  <c r="J3" i="1" s="1"/>
  <c r="K3" i="1" s="1"/>
  <c r="H3" i="1"/>
  <c r="I2" i="1"/>
  <c r="J2" i="1" s="1"/>
  <c r="K2" i="1" s="1"/>
  <c r="H2" i="1"/>
</calcChain>
</file>

<file path=xl/sharedStrings.xml><?xml version="1.0" encoding="utf-8"?>
<sst xmlns="http://schemas.openxmlformats.org/spreadsheetml/2006/main" count="23" uniqueCount="21">
  <si>
    <t>id</t>
  </si>
  <si>
    <t>name</t>
  </si>
  <si>
    <t>type</t>
  </si>
  <si>
    <t>apartments</t>
  </si>
  <si>
    <t>residents</t>
  </si>
  <si>
    <t>Residential</t>
  </si>
  <si>
    <t>residential</t>
  </si>
  <si>
    <t>mobile persons</t>
  </si>
  <si>
    <t>stay home persons</t>
  </si>
  <si>
    <t>mobile person by PT</t>
  </si>
  <si>
    <t>x</t>
  </si>
  <si>
    <t>y</t>
  </si>
  <si>
    <t>eduaction_outside</t>
  </si>
  <si>
    <t>occupation_outside</t>
  </si>
  <si>
    <t>leisure_outside</t>
  </si>
  <si>
    <t>errands_outside</t>
  </si>
  <si>
    <t>shopping_outside</t>
  </si>
  <si>
    <t>R</t>
  </si>
  <si>
    <t>S</t>
  </si>
  <si>
    <t>T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</si>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</sst>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5"/>
  <sheetViews>
    <sheetView tabSelected="1" zoomScale="75" workbookViewId="0">
      <selection activeCell="O2" sqref="O2:O5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8" style="1" bestFit="1" customWidth="1"/>
    <col min="12" max="12" width="16.5" style="1" customWidth="1"/>
    <col min="13" max="13" width="16.332031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10</v>
      </c>
      <c r="D1" t="s">
        <v>11</v>
      </c>
      <c r="E1" s="2" t="s">
        <v>2</v>
      </c>
      <c r="F1" s="2" t="s">
        <v>3</v>
      </c>
      <c r="G1" s="2" t="s">
        <v>4</v>
      </c>
      <c r="H1" s="2" t="s">
        <v>8</v>
      </c>
      <c r="I1" s="2" t="s">
        <v>7</v>
      </c>
      <c r="J1" s="3" t="s">
        <v>9</v>
      </c>
      <c r="K1" s="2" t="s">
        <v>13</v>
      </c>
      <c r="L1" s="2" t="s">
        <v>12</v>
      </c>
      <c r="M1" s="2" t="s">
        <v>16</v>
      </c>
      <c r="N1" s="4" t="s">
        <v>14</v>
      </c>
      <c r="O1" s="2" t="s">
        <v>15</v>
      </c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17" x14ac:dyDescent="0.2">
      <c r="A2" s="1">
        <v>4</v>
      </c>
      <c r="B2" s="1" t="s">
        <v>17</v>
      </c>
      <c r="C2">
        <v>-150</v>
      </c>
      <c r="D2">
        <v>620</v>
      </c>
      <c r="E2" s="1" t="s">
        <v>5</v>
      </c>
      <c r="F2" s="1">
        <v>357</v>
      </c>
      <c r="G2" s="1">
        <v>929</v>
      </c>
      <c r="H2" s="1">
        <f t="shared" ref="H2:H5" si="0">G2*0.21</f>
        <v>195.09</v>
      </c>
      <c r="I2" s="1">
        <f>G2*0.79</f>
        <v>733.91000000000008</v>
      </c>
      <c r="J2" s="1">
        <f t="shared" ref="J2:J5" si="1">I2*0.21</f>
        <v>154.12110000000001</v>
      </c>
      <c r="K2" s="1">
        <f t="shared" ref="K2:K5" si="2">J2*32%*85%</f>
        <v>41.920939199999999</v>
      </c>
      <c r="L2" s="1">
        <v>3.5116199999999997</v>
      </c>
      <c r="M2" s="1">
        <v>8.876595</v>
      </c>
      <c r="N2" s="5">
        <v>8.4864149999999992</v>
      </c>
      <c r="O2" s="1">
        <v>13.948935000000001</v>
      </c>
      <c r="S2" s="5"/>
      <c r="T2" s="5"/>
      <c r="U2" s="5"/>
      <c r="V2" s="5"/>
      <c r="AE2" s="5"/>
    </row>
    <row r="3" spans="1:31" ht="17" x14ac:dyDescent="0.2">
      <c r="A3" s="1">
        <v>5</v>
      </c>
      <c r="B3" s="1" t="s">
        <v>18</v>
      </c>
      <c r="C3">
        <v>0</v>
      </c>
      <c r="D3">
        <v>600</v>
      </c>
      <c r="E3" s="1" t="s">
        <v>6</v>
      </c>
      <c r="F3" s="1">
        <v>263</v>
      </c>
      <c r="G3" s="1">
        <v>685</v>
      </c>
      <c r="H3" s="1">
        <f t="shared" si="0"/>
        <v>143.85</v>
      </c>
      <c r="I3" s="1">
        <f t="shared" ref="I3:I5" si="3">G3*0.79</f>
        <v>541.15</v>
      </c>
      <c r="J3" s="1">
        <f t="shared" si="1"/>
        <v>113.64149999999999</v>
      </c>
      <c r="K3" s="1">
        <f t="shared" si="2"/>
        <v>30.910487999999997</v>
      </c>
      <c r="L3" s="1">
        <v>2.5893000000000002</v>
      </c>
      <c r="M3" s="1">
        <v>6.5451749999999986</v>
      </c>
      <c r="N3" s="5">
        <v>6.2574749999999995</v>
      </c>
      <c r="O3" s="1">
        <v>10.285275</v>
      </c>
    </row>
    <row r="4" spans="1:31" ht="17" x14ac:dyDescent="0.2">
      <c r="A4" s="1">
        <v>6</v>
      </c>
      <c r="B4" s="1" t="s">
        <v>19</v>
      </c>
      <c r="C4">
        <v>125</v>
      </c>
      <c r="D4">
        <v>580</v>
      </c>
      <c r="E4" s="1" t="s">
        <v>6</v>
      </c>
      <c r="F4" s="1">
        <v>273</v>
      </c>
      <c r="G4" s="1">
        <v>709</v>
      </c>
      <c r="H4" s="1">
        <f t="shared" si="0"/>
        <v>148.88999999999999</v>
      </c>
      <c r="I4" s="1">
        <f t="shared" si="3"/>
        <v>560.11</v>
      </c>
      <c r="J4" s="1">
        <f t="shared" si="1"/>
        <v>117.62309999999999</v>
      </c>
      <c r="K4" s="1">
        <f t="shared" si="2"/>
        <v>31.9934832</v>
      </c>
      <c r="L4" s="1">
        <v>2.6800199999999994</v>
      </c>
      <c r="M4" s="1">
        <v>6.774494999999999</v>
      </c>
      <c r="N4" s="5">
        <v>6.4767149999999987</v>
      </c>
      <c r="O4" s="1">
        <v>10.645635</v>
      </c>
      <c r="S4" s="6"/>
    </row>
    <row r="5" spans="1:31" ht="17" x14ac:dyDescent="0.2">
      <c r="A5" s="1">
        <v>9</v>
      </c>
      <c r="B5" s="1" t="s">
        <v>20</v>
      </c>
      <c r="C5">
        <v>85</v>
      </c>
      <c r="D5">
        <v>475</v>
      </c>
      <c r="E5" s="1" t="s">
        <v>6</v>
      </c>
      <c r="F5" s="1">
        <v>124</v>
      </c>
      <c r="G5" s="1">
        <v>323</v>
      </c>
      <c r="H5" s="1">
        <f t="shared" si="0"/>
        <v>67.83</v>
      </c>
      <c r="I5" s="1">
        <f t="shared" si="3"/>
        <v>255.17000000000002</v>
      </c>
      <c r="J5" s="1">
        <f t="shared" si="1"/>
        <v>53.585700000000003</v>
      </c>
      <c r="K5" s="1">
        <f t="shared" si="2"/>
        <v>14.575310400000001</v>
      </c>
      <c r="L5" s="1">
        <v>1.2209399999999999</v>
      </c>
      <c r="M5" s="1">
        <v>3.0862649999999996</v>
      </c>
      <c r="N5" s="5">
        <v>2.9506049999999995</v>
      </c>
      <c r="O5" s="1">
        <v>4.8498450000000002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2026-01-29T17:16:33Z</dcterms:modified>
</cp:coreProperties>
</file>