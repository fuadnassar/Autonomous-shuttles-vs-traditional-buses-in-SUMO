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5/"/>
    </mc:Choice>
  </mc:AlternateContent>
  <xr:revisionPtr revIDLastSave="0" documentId="13_ncr:1_{2BEA8E0A-7773-194C-AE3E-95CA2DAF34FF}" xr6:coauthVersionLast="47" xr6:coauthVersionMax="47" xr10:uidLastSave="{00000000-0000-0000-0000-000000000000}"/>
  <bookViews>
    <workbookView xWindow="0" yWindow="600" windowWidth="35840" windowHeight="20000" xr2:uid="{9D3B7F62-A62F-4147-9C41-619E3F048876}"/>
  </bookViews>
  <sheets>
    <sheet name="dens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J2" i="1" s="1"/>
  <c r="I3" i="1"/>
  <c r="J3" i="1" s="1"/>
  <c r="I4" i="1"/>
  <c r="J4" i="1" s="1"/>
  <c r="I5" i="1"/>
  <c r="J5" i="1"/>
  <c r="H2" i="1"/>
  <c r="L2" i="1" s="1"/>
  <c r="H3" i="1"/>
  <c r="L3" i="1" s="1"/>
  <c r="H4" i="1"/>
  <c r="L4" i="1" s="1"/>
  <c r="H5" i="1"/>
  <c r="L5" i="1" s="1"/>
</calcChain>
</file>

<file path=xl/sharedStrings.xml><?xml version="1.0" encoding="utf-8"?>
<sst xmlns="http://schemas.openxmlformats.org/spreadsheetml/2006/main" count="23" uniqueCount="21">
  <si>
    <t>id</t>
  </si>
  <si>
    <t>name</t>
  </si>
  <si>
    <t>type</t>
  </si>
  <si>
    <t>apartments</t>
  </si>
  <si>
    <t>residents</t>
  </si>
  <si>
    <t>Residential</t>
  </si>
  <si>
    <t>residential</t>
  </si>
  <si>
    <t>W13</t>
  </si>
  <si>
    <t>W14</t>
  </si>
  <si>
    <t>WA18</t>
  </si>
  <si>
    <t>WA19</t>
  </si>
  <si>
    <t>mobile persons</t>
  </si>
  <si>
    <t>stay home persons</t>
  </si>
  <si>
    <t>mobile person by PT</t>
  </si>
  <si>
    <t>x</t>
  </si>
  <si>
    <t>y</t>
  </si>
  <si>
    <t>eduaction_outside</t>
  </si>
  <si>
    <t>occupation_outside</t>
  </si>
  <si>
    <t>leisure_outside</t>
  </si>
  <si>
    <t>errands_outside</t>
  </si>
  <si>
    <t>shopping_outside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</si>
</sst>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justify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center" vertical="justify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8" fillId="0" borderId="0" xfId="0" applyFont="1" applyAlignment="1">
      <alignment horizontal="justify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5256-8139-CD42-A7F7-9D04482001A5}">
  <dimension ref="A1:AE9"/>
  <sheetViews>
    <sheetView tabSelected="1" zoomScale="75" workbookViewId="0">
      <selection activeCell="Q15" sqref="Q15"/>
    </sheetView>
  </sheetViews>
  <sheetFormatPr baseColWidth="10" defaultRowHeight="16" x14ac:dyDescent="0.2"/>
  <cols>
    <col min="1" max="1" width="10.83203125" style="1"/>
    <col min="2" max="2" width="11.5" style="1" customWidth="1"/>
    <col min="5" max="8" width="10.83203125" style="1"/>
    <col min="9" max="9" width="14.83203125" style="1" customWidth="1"/>
    <col min="10" max="10" width="18.1640625" style="1" customWidth="1"/>
    <col min="11" max="11" width="18" style="1" bestFit="1" customWidth="1"/>
    <col min="12" max="12" width="16.5" style="1" customWidth="1"/>
    <col min="13" max="13" width="16.33203125" style="1" bestFit="1" customWidth="1"/>
    <col min="14" max="14" width="16" style="1" customWidth="1"/>
    <col min="15" max="15" width="15.1640625" style="1" bestFit="1" customWidth="1"/>
    <col min="16" max="16" width="13.6640625" style="1" customWidth="1"/>
    <col min="17" max="17" width="14.1640625" style="1" bestFit="1" customWidth="1"/>
    <col min="18" max="18" width="12.33203125" style="1" bestFit="1" customWidth="1"/>
    <col min="19" max="19" width="13.5" style="1" bestFit="1" customWidth="1"/>
    <col min="20" max="20" width="20.1640625" style="1" bestFit="1" customWidth="1"/>
    <col min="21" max="21" width="21.5" style="1" bestFit="1" customWidth="1"/>
    <col min="22" max="22" width="16" style="1" customWidth="1"/>
    <col min="23" max="23" width="15.1640625" style="1" bestFit="1" customWidth="1"/>
    <col min="24" max="24" width="14" style="1" bestFit="1" customWidth="1"/>
    <col min="25" max="25" width="15.1640625" style="1" bestFit="1" customWidth="1"/>
    <col min="26" max="26" width="20.1640625" style="1" bestFit="1" customWidth="1"/>
    <col min="27" max="27" width="21.5" style="1" bestFit="1" customWidth="1"/>
    <col min="28" max="28" width="13" style="1" bestFit="1" customWidth="1"/>
    <col min="29" max="29" width="14.1640625" style="1" bestFit="1" customWidth="1"/>
    <col min="30" max="30" width="12.33203125" style="1" bestFit="1" customWidth="1"/>
    <col min="31" max="31" width="13.5" style="1" bestFit="1" customWidth="1"/>
    <col min="32" max="16384" width="10.83203125" style="1"/>
  </cols>
  <sheetData>
    <row r="1" spans="1:31" ht="31" customHeight="1" x14ac:dyDescent="0.2">
      <c r="A1" s="2" t="s">
        <v>0</v>
      </c>
      <c r="B1" s="2" t="s">
        <v>1</v>
      </c>
      <c r="C1" t="s">
        <v>14</v>
      </c>
      <c r="D1" t="s">
        <v>15</v>
      </c>
      <c r="E1" s="2" t="s">
        <v>2</v>
      </c>
      <c r="F1" s="2" t="s">
        <v>3</v>
      </c>
      <c r="G1" s="2" t="s">
        <v>4</v>
      </c>
      <c r="H1" s="2" t="s">
        <v>12</v>
      </c>
      <c r="I1" s="2" t="s">
        <v>11</v>
      </c>
      <c r="J1" s="3" t="s">
        <v>13</v>
      </c>
      <c r="K1" s="2" t="s">
        <v>17</v>
      </c>
      <c r="L1" s="2" t="s">
        <v>16</v>
      </c>
      <c r="M1" s="2" t="s">
        <v>20</v>
      </c>
      <c r="N1" s="4" t="s">
        <v>18</v>
      </c>
      <c r="O1" s="2" t="s">
        <v>19</v>
      </c>
      <c r="P1" s="2"/>
      <c r="Q1" s="2"/>
      <c r="R1" s="2"/>
      <c r="S1" s="4"/>
      <c r="T1" s="2"/>
      <c r="U1" s="2"/>
      <c r="V1" s="4"/>
      <c r="W1" s="2"/>
      <c r="X1" s="2"/>
      <c r="Y1" s="2"/>
      <c r="Z1" s="2"/>
      <c r="AA1" s="2"/>
      <c r="AB1" s="2"/>
      <c r="AC1" s="2"/>
      <c r="AD1" s="2"/>
      <c r="AE1" s="4"/>
    </row>
    <row r="2" spans="1:31" ht="17" x14ac:dyDescent="0.2">
      <c r="A2" s="1">
        <v>8785</v>
      </c>
      <c r="B2" s="1" t="s">
        <v>7</v>
      </c>
      <c r="C2">
        <v>330</v>
      </c>
      <c r="D2">
        <v>-525</v>
      </c>
      <c r="E2" s="1" t="s">
        <v>6</v>
      </c>
      <c r="F2" s="1">
        <v>173</v>
      </c>
      <c r="G2" s="1">
        <v>433</v>
      </c>
      <c r="H2" s="1">
        <f t="shared" ref="H2:H5" si="0">G2*0.21</f>
        <v>90.929999999999993</v>
      </c>
      <c r="I2" s="1">
        <f t="shared" ref="I2:I5" si="1">G2*0.79</f>
        <v>342.07</v>
      </c>
      <c r="J2" s="1">
        <f t="shared" ref="J2:J5" si="2">I2*0.21</f>
        <v>71.834699999999998</v>
      </c>
      <c r="K2" s="1">
        <v>19.539038399999999</v>
      </c>
      <c r="L2" s="1">
        <f t="shared" ref="K2:L5" si="3">$H2*6%*30%</f>
        <v>1.6367399999999996</v>
      </c>
      <c r="M2" s="1">
        <v>4.1373150000000001</v>
      </c>
      <c r="N2" s="5">
        <v>3.9554549999999988</v>
      </c>
      <c r="O2" s="1">
        <v>6.5014950000000002</v>
      </c>
      <c r="S2" s="5"/>
      <c r="T2" s="5"/>
      <c r="U2" s="5"/>
      <c r="V2" s="5"/>
      <c r="AE2" s="5"/>
    </row>
    <row r="3" spans="1:31" ht="17" x14ac:dyDescent="0.2">
      <c r="A3" s="1">
        <v>211</v>
      </c>
      <c r="B3" s="1" t="s">
        <v>8</v>
      </c>
      <c r="C3">
        <v>450</v>
      </c>
      <c r="D3">
        <v>-500</v>
      </c>
      <c r="E3" s="1" t="s">
        <v>6</v>
      </c>
      <c r="F3" s="1">
        <v>301</v>
      </c>
      <c r="G3" s="1">
        <v>753</v>
      </c>
      <c r="H3" s="1">
        <f t="shared" si="0"/>
        <v>158.13</v>
      </c>
      <c r="I3" s="1">
        <f t="shared" si="1"/>
        <v>594.87</v>
      </c>
      <c r="J3" s="1">
        <f t="shared" si="2"/>
        <v>124.92269999999999</v>
      </c>
      <c r="K3" s="1">
        <v>33.978974399999998</v>
      </c>
      <c r="L3" s="1">
        <f t="shared" si="3"/>
        <v>2.8463400000000001</v>
      </c>
      <c r="M3" s="1">
        <v>7.1949149999999991</v>
      </c>
      <c r="N3" s="5">
        <v>6.8786549999999993</v>
      </c>
      <c r="O3" s="1">
        <v>11.306295</v>
      </c>
      <c r="S3" s="5"/>
      <c r="T3" s="5"/>
      <c r="U3" s="5"/>
      <c r="V3" s="5"/>
      <c r="AE3" s="5"/>
    </row>
    <row r="4" spans="1:31" ht="17" x14ac:dyDescent="0.2">
      <c r="A4" s="1">
        <v>2389</v>
      </c>
      <c r="B4" s="1" t="s">
        <v>9</v>
      </c>
      <c r="C4">
        <v>200</v>
      </c>
      <c r="D4">
        <v>-565</v>
      </c>
      <c r="E4" s="1" t="s">
        <v>5</v>
      </c>
      <c r="F4" s="1">
        <v>316</v>
      </c>
      <c r="G4" s="1">
        <v>790</v>
      </c>
      <c r="H4" s="1">
        <f t="shared" si="0"/>
        <v>165.9</v>
      </c>
      <c r="I4" s="1">
        <f t="shared" si="1"/>
        <v>624.1</v>
      </c>
      <c r="J4" s="1">
        <f t="shared" si="2"/>
        <v>131.06100000000001</v>
      </c>
      <c r="K4" s="1">
        <v>35.648592000000001</v>
      </c>
      <c r="L4" s="1">
        <f t="shared" si="3"/>
        <v>2.9862000000000002</v>
      </c>
      <c r="M4" s="1">
        <v>7.5484499999999999</v>
      </c>
      <c r="N4" s="5">
        <v>7.2166499999999996</v>
      </c>
      <c r="O4" s="1">
        <v>11.861850000000002</v>
      </c>
      <c r="S4" s="5"/>
      <c r="T4" s="5"/>
      <c r="U4" s="5"/>
      <c r="V4" s="5"/>
      <c r="AE4" s="5"/>
    </row>
    <row r="5" spans="1:31" ht="17" x14ac:dyDescent="0.2">
      <c r="A5" s="1">
        <v>34132</v>
      </c>
      <c r="B5" s="1" t="s">
        <v>10</v>
      </c>
      <c r="C5">
        <v>435</v>
      </c>
      <c r="D5">
        <v>-660</v>
      </c>
      <c r="E5" s="1" t="s">
        <v>5</v>
      </c>
      <c r="F5" s="1">
        <v>177</v>
      </c>
      <c r="G5" s="1">
        <v>443</v>
      </c>
      <c r="H5" s="1">
        <f t="shared" si="0"/>
        <v>93.03</v>
      </c>
      <c r="I5" s="1">
        <f t="shared" si="1"/>
        <v>349.97</v>
      </c>
      <c r="J5" s="1">
        <f t="shared" si="2"/>
        <v>73.493700000000004</v>
      </c>
      <c r="K5" s="1">
        <v>19.990286399999999</v>
      </c>
      <c r="L5" s="1">
        <f t="shared" si="3"/>
        <v>1.6745399999999997</v>
      </c>
      <c r="M5" s="1">
        <v>4.2328650000000003</v>
      </c>
      <c r="N5" s="5">
        <v>4.046805</v>
      </c>
      <c r="O5" s="1">
        <v>6.6516450000000003</v>
      </c>
      <c r="S5" s="5"/>
      <c r="T5" s="5"/>
      <c r="U5" s="5"/>
      <c r="V5" s="5"/>
      <c r="AE5" s="5"/>
    </row>
    <row r="7" spans="1:31" x14ac:dyDescent="0.2">
      <c r="S7" s="6"/>
    </row>
    <row r="8" spans="1:31" x14ac:dyDescent="0.2">
      <c r="J8"/>
      <c r="K8"/>
      <c r="L8"/>
      <c r="M8"/>
      <c r="O8"/>
      <c r="P8"/>
      <c r="Q8"/>
      <c r="R8"/>
      <c r="S8"/>
      <c r="T8"/>
      <c r="U8"/>
    </row>
    <row r="9" spans="1:31" x14ac:dyDescent="0.2">
      <c r="J9"/>
      <c r="K9"/>
      <c r="L9"/>
      <c r="M9"/>
      <c r="N9"/>
      <c r="O9"/>
      <c r="P9"/>
      <c r="Q9"/>
      <c r="R9"/>
      <c r="S9"/>
      <c r="T9"/>
      <c r="U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2025-12-16T20:23:37Z</dcterms:created>
  <dcterms:modified xsi:type="dcterms:W3CDTF">2026-01-29T17:04:51Z</dcterms:modified>
</cp:coreProperties>
</file>