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_Outside_Data_Preperation/Input/"/>
    </mc:Choice>
  </mc:AlternateContent>
  <xr:revisionPtr revIDLastSave="0" documentId="13_ncr:1_{2D4BE284-9DD2-7545-AF13-5AEC7B93E4B8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G2" i="1"/>
  <c r="H2" i="1" s="1"/>
  <c r="H38" i="1"/>
  <c r="H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M8" i="1" l="1"/>
  <c r="J8" i="1"/>
  <c r="K8" i="1"/>
  <c r="L8" i="1"/>
  <c r="M37" i="1"/>
  <c r="L37" i="1"/>
  <c r="J37" i="1"/>
  <c r="K37" i="1"/>
  <c r="M6" i="1"/>
  <c r="K6" i="1"/>
  <c r="J6" i="1"/>
  <c r="L6" i="1"/>
  <c r="J9" i="1"/>
  <c r="K9" i="1"/>
  <c r="L9" i="1"/>
  <c r="M9" i="1"/>
  <c r="K12" i="1"/>
  <c r="L12" i="1"/>
  <c r="M12" i="1"/>
  <c r="J12" i="1"/>
  <c r="M36" i="1"/>
  <c r="K36" i="1"/>
  <c r="J36" i="1"/>
  <c r="L36" i="1"/>
  <c r="L35" i="1"/>
  <c r="M35" i="1"/>
  <c r="J35" i="1"/>
  <c r="K35" i="1"/>
  <c r="K18" i="1"/>
  <c r="L18" i="1"/>
  <c r="M18" i="1"/>
  <c r="J18" i="1"/>
  <c r="J33" i="1"/>
  <c r="K33" i="1"/>
  <c r="L33" i="1"/>
  <c r="M33" i="1"/>
  <c r="J32" i="1"/>
  <c r="K32" i="1"/>
  <c r="L32" i="1"/>
  <c r="M32" i="1"/>
  <c r="K26" i="1"/>
  <c r="L26" i="1"/>
  <c r="M26" i="1"/>
  <c r="J26" i="1"/>
  <c r="J11" i="1"/>
  <c r="K11" i="1"/>
  <c r="L11" i="1"/>
  <c r="M11" i="1"/>
  <c r="J38" i="1"/>
  <c r="K38" i="1"/>
  <c r="M38" i="1"/>
  <c r="L38" i="1"/>
  <c r="J2" i="1"/>
  <c r="K2" i="1"/>
  <c r="M2" i="1"/>
  <c r="L2" i="1"/>
  <c r="M22" i="1"/>
  <c r="J22" i="1"/>
  <c r="K22" i="1"/>
  <c r="L22" i="1"/>
  <c r="M21" i="1"/>
  <c r="L21" i="1"/>
  <c r="J21" i="1"/>
  <c r="K21" i="1"/>
  <c r="L19" i="1"/>
  <c r="M19" i="1"/>
  <c r="J19" i="1"/>
  <c r="K19" i="1"/>
  <c r="K34" i="1"/>
  <c r="L34" i="1"/>
  <c r="M34" i="1"/>
  <c r="J34" i="1"/>
  <c r="J17" i="1"/>
  <c r="K17" i="1"/>
  <c r="L17" i="1"/>
  <c r="M17" i="1"/>
  <c r="M14" i="1"/>
  <c r="K14" i="1"/>
  <c r="J14" i="1"/>
  <c r="L14" i="1"/>
  <c r="J25" i="1"/>
  <c r="K25" i="1"/>
  <c r="L25" i="1"/>
  <c r="M25" i="1"/>
  <c r="J24" i="1"/>
  <c r="K24" i="1"/>
  <c r="L24" i="1"/>
  <c r="M24" i="1"/>
  <c r="J10" i="1"/>
  <c r="K10" i="1"/>
  <c r="L10" i="1"/>
  <c r="M10" i="1"/>
  <c r="J23" i="1"/>
  <c r="K23" i="1"/>
  <c r="L23" i="1"/>
  <c r="M23" i="1"/>
  <c r="L7" i="1"/>
  <c r="M7" i="1"/>
  <c r="J7" i="1"/>
  <c r="K7" i="1"/>
  <c r="M20" i="1"/>
  <c r="K20" i="1"/>
  <c r="J20" i="1"/>
  <c r="L20" i="1"/>
  <c r="L5" i="1"/>
  <c r="M5" i="1"/>
  <c r="J5" i="1"/>
  <c r="K5" i="1"/>
  <c r="K4" i="1"/>
  <c r="L4" i="1"/>
  <c r="M4" i="1"/>
  <c r="J4" i="1"/>
  <c r="J3" i="1"/>
  <c r="K3" i="1"/>
  <c r="L3" i="1"/>
  <c r="M3" i="1"/>
  <c r="J31" i="1"/>
  <c r="K31" i="1"/>
  <c r="L31" i="1"/>
  <c r="M31" i="1"/>
  <c r="J30" i="1"/>
  <c r="K30" i="1"/>
  <c r="L30" i="1"/>
  <c r="M30" i="1"/>
  <c r="J16" i="1"/>
  <c r="M16" i="1"/>
  <c r="K16" i="1"/>
  <c r="L16" i="1"/>
  <c r="J29" i="1"/>
  <c r="L29" i="1"/>
  <c r="K29" i="1"/>
  <c r="M29" i="1"/>
  <c r="J15" i="1"/>
  <c r="K15" i="1"/>
  <c r="L15" i="1"/>
  <c r="M15" i="1"/>
  <c r="M28" i="1"/>
  <c r="K28" i="1"/>
  <c r="J28" i="1"/>
  <c r="L28" i="1"/>
  <c r="L27" i="1"/>
  <c r="M27" i="1"/>
  <c r="J27" i="1"/>
  <c r="K27" i="1"/>
  <c r="L13" i="1"/>
  <c r="M13" i="1"/>
  <c r="J13" i="1"/>
  <c r="K13" i="1"/>
  <c r="I27" i="1"/>
  <c r="I30" i="1"/>
  <c r="I29" i="1"/>
  <c r="I28" i="1"/>
  <c r="I31" i="1"/>
  <c r="I17" i="1"/>
  <c r="I16" i="1"/>
  <c r="I15" i="1"/>
  <c r="I14" i="1"/>
  <c r="I13" i="1"/>
  <c r="I5" i="1"/>
  <c r="I34" i="1"/>
  <c r="I3" i="1"/>
  <c r="I23" i="1"/>
  <c r="I35" i="1"/>
  <c r="I4" i="1"/>
  <c r="I33" i="1"/>
  <c r="I2" i="1"/>
  <c r="I22" i="1"/>
  <c r="I21" i="1"/>
  <c r="I36" i="1"/>
  <c r="I20" i="1"/>
  <c r="I9" i="1"/>
  <c r="I10" i="1"/>
  <c r="I26" i="1"/>
  <c r="I12" i="1"/>
  <c r="I11" i="1"/>
  <c r="I38" i="1"/>
  <c r="I8" i="1"/>
  <c r="I7" i="1"/>
  <c r="I6" i="1"/>
  <c r="I19" i="1"/>
  <c r="I25" i="1"/>
  <c r="I37" i="1"/>
  <c r="I18" i="1"/>
  <c r="I24" i="1"/>
  <c r="I32" i="1"/>
</calcChain>
</file>

<file path=xl/sharedStrings.xml><?xml version="1.0" encoding="utf-8"?>
<sst xmlns="http://schemas.openxmlformats.org/spreadsheetml/2006/main" count="87" uniqueCount="52">
  <si>
    <t>id</t>
  </si>
  <si>
    <t>name</t>
  </si>
  <si>
    <t>type</t>
  </si>
  <si>
    <t>apartments</t>
  </si>
  <si>
    <t>residents</t>
  </si>
  <si>
    <t>R</t>
  </si>
  <si>
    <t>Residential</t>
  </si>
  <si>
    <t>S</t>
  </si>
  <si>
    <t>residential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</si>
  <si>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</si>
  <si>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</si>
  <si>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</si>
  <si>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</si>
  <si>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</si>
  <si>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</si>
  <si>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</si>
  <si>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</si>
  <si>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</si>
  <si>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</si>
  <si>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</si>
  <si>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</si>
  <si>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</si>
  <si>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</si>
  <si>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</si>
  <si>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</si>
  <si>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</si>
  <si>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</si>
  <si>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</si>
  <si>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</si>
  <si>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</si>
  <si>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</si>
  <si>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</si>
  <si>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</si>
  <si>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</si>
  <si>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</si>
  <si>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</si>
  <si>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</si>
  <si>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</si>
  <si>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</si>
  <si>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</si>
  <si>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</si>
  <si>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</si>
  <si>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</si>
  <si>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</si>
  <si>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mobile persons</t>
  </si>
  <si>
    <t>stay home persons</t>
  </si>
  <si>
    <t>mobile person by PT</t>
  </si>
  <si>
    <t>shopping_outside</t>
  </si>
  <si>
    <t>eduction_outside</t>
  </si>
  <si>
    <t>errands_outside</t>
  </si>
  <si>
    <t>leisure_outside</t>
  </si>
  <si>
    <t>occupation_outside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</si>
</sst>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W42"/>
  <sheetViews>
    <sheetView tabSelected="1" zoomScale="75" workbookViewId="0">
      <selection activeCell="H24" sqref="H24"/>
    </sheetView>
  </sheetViews>
  <sheetFormatPr baseColWidth="10" defaultRowHeight="16" x14ac:dyDescent="0.2"/>
  <cols>
    <col min="1" max="6" width="10.83203125" style="1"/>
    <col min="7" max="7" width="14.83203125" style="1" customWidth="1"/>
    <col min="8" max="8" width="18.1640625" style="1" customWidth="1"/>
    <col min="9" max="9" width="17.33203125" style="1" bestFit="1" customWidth="1"/>
    <col min="10" max="11" width="15.1640625" style="1" bestFit="1" customWidth="1"/>
    <col min="12" max="12" width="14.1640625" style="1" bestFit="1" customWidth="1"/>
    <col min="13" max="13" width="13.5" style="1" bestFit="1" customWidth="1"/>
    <col min="14" max="14" width="16" style="1" customWidth="1"/>
    <col min="15" max="15" width="15.1640625" style="1" bestFit="1" customWidth="1"/>
    <col min="16" max="16" width="14" style="1" bestFit="1" customWidth="1"/>
    <col min="17" max="17" width="15.1640625" style="1" bestFit="1" customWidth="1"/>
    <col min="18" max="18" width="20.1640625" style="1" bestFit="1" customWidth="1"/>
    <col min="19" max="19" width="21.5" style="1" bestFit="1" customWidth="1"/>
    <col min="20" max="20" width="13" style="1" bestFit="1" customWidth="1"/>
    <col min="21" max="21" width="14.1640625" style="1" bestFit="1" customWidth="1"/>
    <col min="22" max="22" width="12.33203125" style="1" bestFit="1" customWidth="1"/>
    <col min="23" max="23" width="13.5" style="1" bestFit="1" customWidth="1"/>
    <col min="24" max="16384" width="10.83203125" style="1"/>
  </cols>
  <sheetData>
    <row r="1" spans="1:23" ht="3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44</v>
      </c>
      <c r="H1" s="3" t="s">
        <v>46</v>
      </c>
      <c r="I1" s="2" t="s">
        <v>51</v>
      </c>
      <c r="J1" s="2" t="s">
        <v>48</v>
      </c>
      <c r="K1" s="2" t="s">
        <v>47</v>
      </c>
      <c r="L1" s="2" t="s">
        <v>49</v>
      </c>
      <c r="M1" s="4" t="s">
        <v>50</v>
      </c>
      <c r="N1" s="4"/>
      <c r="O1" s="2"/>
      <c r="P1" s="2"/>
      <c r="Q1" s="2"/>
      <c r="R1" s="2"/>
      <c r="S1" s="2"/>
      <c r="T1" s="2"/>
      <c r="U1" s="2"/>
      <c r="V1" s="2"/>
      <c r="W1" s="4"/>
    </row>
    <row r="2" spans="1:23" ht="17" x14ac:dyDescent="0.2">
      <c r="A2" s="1">
        <v>4</v>
      </c>
      <c r="B2" s="1" t="s">
        <v>5</v>
      </c>
      <c r="C2" s="1" t="s">
        <v>6</v>
      </c>
      <c r="D2" s="1">
        <v>357</v>
      </c>
      <c r="E2" s="1">
        <v>929</v>
      </c>
      <c r="F2" s="1">
        <f t="shared" ref="F2:F38" si="0">E2*0.21</f>
        <v>195.09</v>
      </c>
      <c r="G2" s="1">
        <f>E2*0.79</f>
        <v>733.91000000000008</v>
      </c>
      <c r="H2" s="1">
        <f t="shared" ref="H2:H38" si="1">G2*0.21</f>
        <v>154.12110000000001</v>
      </c>
      <c r="I2" s="1">
        <f t="shared" ref="I2:I38" si="2">H2*32%*85%</f>
        <v>41.920939199999999</v>
      </c>
      <c r="J2" s="1">
        <f>$H2*6%*30%</f>
        <v>2.7741797999999998</v>
      </c>
      <c r="K2" s="1">
        <f>$H2*13%*35%</f>
        <v>7.0125100500000004</v>
      </c>
      <c r="L2" s="1">
        <f>$H2*11%*65%</f>
        <v>11.019658650000002</v>
      </c>
      <c r="M2" s="5">
        <f>$H2*29%*15%</f>
        <v>6.7042678499999999</v>
      </c>
      <c r="N2" s="5"/>
      <c r="W2" s="5"/>
    </row>
    <row r="3" spans="1:23" ht="17" x14ac:dyDescent="0.2">
      <c r="A3" s="1">
        <v>5</v>
      </c>
      <c r="B3" s="1" t="s">
        <v>7</v>
      </c>
      <c r="C3" s="1" t="s">
        <v>8</v>
      </c>
      <c r="D3" s="1">
        <v>263</v>
      </c>
      <c r="E3" s="1">
        <v>685</v>
      </c>
      <c r="F3" s="1">
        <f t="shared" si="0"/>
        <v>143.85</v>
      </c>
      <c r="G3" s="1">
        <f t="shared" ref="G3:G38" si="3">E3*0.79</f>
        <v>541.15</v>
      </c>
      <c r="H3" s="1">
        <f t="shared" si="1"/>
        <v>113.64149999999999</v>
      </c>
      <c r="I3" s="1">
        <f t="shared" si="2"/>
        <v>30.910487999999997</v>
      </c>
      <c r="J3" s="1">
        <f t="shared" ref="J3:J38" si="4">$H3*6%*30%</f>
        <v>2.045547</v>
      </c>
      <c r="K3" s="1">
        <f t="shared" ref="K3:K38" si="5">$H3*13%*35%</f>
        <v>5.1706882499999995</v>
      </c>
      <c r="L3" s="1">
        <f t="shared" ref="L3:L38" si="6">$H3*11%*65%</f>
        <v>8.12536725</v>
      </c>
      <c r="M3" s="5">
        <f t="shared" ref="M3:M38" si="7">$H3*29%*15%</f>
        <v>4.9434052499999988</v>
      </c>
      <c r="N3" s="5"/>
      <c r="W3" s="5"/>
    </row>
    <row r="4" spans="1:23" ht="17" x14ac:dyDescent="0.2">
      <c r="A4" s="1">
        <v>6</v>
      </c>
      <c r="B4" s="1" t="s">
        <v>9</v>
      </c>
      <c r="C4" s="1" t="s">
        <v>8</v>
      </c>
      <c r="D4" s="1">
        <v>273</v>
      </c>
      <c r="E4" s="1">
        <v>709</v>
      </c>
      <c r="F4" s="1">
        <f t="shared" si="0"/>
        <v>148.88999999999999</v>
      </c>
      <c r="G4" s="1">
        <f t="shared" si="3"/>
        <v>560.11</v>
      </c>
      <c r="H4" s="1">
        <f t="shared" si="1"/>
        <v>117.62309999999999</v>
      </c>
      <c r="I4" s="1">
        <f t="shared" si="2"/>
        <v>31.9934832</v>
      </c>
      <c r="J4" s="1">
        <f t="shared" si="4"/>
        <v>2.1172157999999999</v>
      </c>
      <c r="K4" s="1">
        <f t="shared" si="5"/>
        <v>5.3518510499999996</v>
      </c>
      <c r="L4" s="1">
        <f t="shared" si="6"/>
        <v>8.4100516499999998</v>
      </c>
      <c r="M4" s="5">
        <f t="shared" si="7"/>
        <v>5.116604849999999</v>
      </c>
      <c r="N4" s="5"/>
      <c r="W4" s="5"/>
    </row>
    <row r="5" spans="1:23" ht="17" x14ac:dyDescent="0.2">
      <c r="A5" s="1">
        <v>7</v>
      </c>
      <c r="B5" s="1" t="s">
        <v>10</v>
      </c>
      <c r="C5" s="1" t="s">
        <v>8</v>
      </c>
      <c r="D5" s="1">
        <v>413</v>
      </c>
      <c r="E5" s="1">
        <v>1075</v>
      </c>
      <c r="F5" s="1">
        <f t="shared" si="0"/>
        <v>225.75</v>
      </c>
      <c r="G5" s="1">
        <f t="shared" si="3"/>
        <v>849.25</v>
      </c>
      <c r="H5" s="1">
        <f t="shared" si="1"/>
        <v>178.3425</v>
      </c>
      <c r="I5" s="1">
        <f t="shared" si="2"/>
        <v>48.509160000000001</v>
      </c>
      <c r="J5" s="1">
        <f t="shared" si="4"/>
        <v>3.2101649999999999</v>
      </c>
      <c r="K5" s="1">
        <f t="shared" si="5"/>
        <v>8.1145837499999995</v>
      </c>
      <c r="L5" s="1">
        <f t="shared" si="6"/>
        <v>12.751488750000002</v>
      </c>
      <c r="M5" s="5">
        <f t="shared" si="7"/>
        <v>7.757898749999999</v>
      </c>
      <c r="N5" s="5"/>
      <c r="W5" s="5"/>
    </row>
    <row r="6" spans="1:23" ht="17" x14ac:dyDescent="0.2">
      <c r="A6" s="1">
        <v>8</v>
      </c>
      <c r="B6" s="1" t="s">
        <v>11</v>
      </c>
      <c r="C6" s="1" t="s">
        <v>8</v>
      </c>
      <c r="D6" s="1">
        <v>341</v>
      </c>
      <c r="E6" s="1">
        <v>885</v>
      </c>
      <c r="F6" s="1">
        <f t="shared" si="0"/>
        <v>185.85</v>
      </c>
      <c r="G6" s="1">
        <f t="shared" si="3"/>
        <v>699.15</v>
      </c>
      <c r="H6" s="1">
        <f t="shared" si="1"/>
        <v>146.82149999999999</v>
      </c>
      <c r="I6" s="1">
        <f t="shared" si="2"/>
        <v>39.935447999999994</v>
      </c>
      <c r="J6" s="1">
        <f t="shared" si="4"/>
        <v>2.6427869999999998</v>
      </c>
      <c r="K6" s="1">
        <f t="shared" si="5"/>
        <v>6.6803782499999995</v>
      </c>
      <c r="L6" s="1">
        <f t="shared" si="6"/>
        <v>10.497737249999998</v>
      </c>
      <c r="M6" s="5">
        <f t="shared" si="7"/>
        <v>6.3867352499999983</v>
      </c>
      <c r="N6" s="5"/>
      <c r="W6" s="5"/>
    </row>
    <row r="7" spans="1:23" ht="17" x14ac:dyDescent="0.2">
      <c r="A7" s="1">
        <v>9</v>
      </c>
      <c r="B7" s="1" t="s">
        <v>12</v>
      </c>
      <c r="C7" s="1" t="s">
        <v>8</v>
      </c>
      <c r="D7" s="1">
        <v>124</v>
      </c>
      <c r="E7" s="1">
        <v>323</v>
      </c>
      <c r="F7" s="1">
        <f t="shared" si="0"/>
        <v>67.83</v>
      </c>
      <c r="G7" s="1">
        <f t="shared" si="3"/>
        <v>255.17000000000002</v>
      </c>
      <c r="H7" s="1">
        <f t="shared" si="1"/>
        <v>53.585700000000003</v>
      </c>
      <c r="I7" s="1">
        <f t="shared" si="2"/>
        <v>14.575310400000001</v>
      </c>
      <c r="J7" s="1">
        <f t="shared" si="4"/>
        <v>0.96454260000000003</v>
      </c>
      <c r="K7" s="1">
        <f t="shared" si="5"/>
        <v>2.4381493499999998</v>
      </c>
      <c r="L7" s="1">
        <f t="shared" si="6"/>
        <v>3.8313775500000005</v>
      </c>
      <c r="M7" s="5">
        <f t="shared" si="7"/>
        <v>2.3309779499999999</v>
      </c>
      <c r="N7" s="5"/>
      <c r="W7" s="5"/>
    </row>
    <row r="8" spans="1:23" ht="17" x14ac:dyDescent="0.2">
      <c r="A8" s="1">
        <v>10</v>
      </c>
      <c r="B8" s="1" t="s">
        <v>13</v>
      </c>
      <c r="C8" s="1" t="s">
        <v>8</v>
      </c>
      <c r="D8" s="1">
        <v>395</v>
      </c>
      <c r="E8" s="1">
        <v>1027</v>
      </c>
      <c r="F8" s="1">
        <f t="shared" si="0"/>
        <v>215.67</v>
      </c>
      <c r="G8" s="1">
        <f t="shared" si="3"/>
        <v>811.33</v>
      </c>
      <c r="H8" s="1">
        <f t="shared" si="1"/>
        <v>170.3793</v>
      </c>
      <c r="I8" s="1">
        <f t="shared" si="2"/>
        <v>46.343169600000003</v>
      </c>
      <c r="J8" s="1">
        <f t="shared" si="4"/>
        <v>3.0668273999999998</v>
      </c>
      <c r="K8" s="1">
        <f t="shared" si="5"/>
        <v>7.7522581500000003</v>
      </c>
      <c r="L8" s="1">
        <f t="shared" si="6"/>
        <v>12.182119950000001</v>
      </c>
      <c r="M8" s="5">
        <f t="shared" si="7"/>
        <v>7.4114995499999994</v>
      </c>
      <c r="N8" s="5"/>
      <c r="W8" s="5"/>
    </row>
    <row r="9" spans="1:23" ht="17" x14ac:dyDescent="0.2">
      <c r="A9" s="1">
        <v>11</v>
      </c>
      <c r="B9" s="1" t="s">
        <v>14</v>
      </c>
      <c r="C9" s="1" t="s">
        <v>8</v>
      </c>
      <c r="D9" s="1">
        <v>291</v>
      </c>
      <c r="E9" s="1">
        <v>756</v>
      </c>
      <c r="F9" s="1">
        <f t="shared" si="0"/>
        <v>158.76</v>
      </c>
      <c r="G9" s="1">
        <f t="shared" si="3"/>
        <v>597.24</v>
      </c>
      <c r="H9" s="1">
        <f t="shared" si="1"/>
        <v>125.4204</v>
      </c>
      <c r="I9" s="1">
        <f t="shared" si="2"/>
        <v>34.114348800000002</v>
      </c>
      <c r="J9" s="1">
        <f t="shared" si="4"/>
        <v>2.2575672</v>
      </c>
      <c r="K9" s="1">
        <f t="shared" si="5"/>
        <v>5.7066281999999999</v>
      </c>
      <c r="L9" s="1">
        <f t="shared" si="6"/>
        <v>8.9675586000000003</v>
      </c>
      <c r="M9" s="5">
        <f t="shared" si="7"/>
        <v>5.4557873999999993</v>
      </c>
      <c r="N9" s="5"/>
      <c r="W9" s="5"/>
    </row>
    <row r="10" spans="1:23" ht="17" x14ac:dyDescent="0.2">
      <c r="A10" s="1">
        <v>12</v>
      </c>
      <c r="B10" s="1" t="s">
        <v>15</v>
      </c>
      <c r="C10" s="1" t="s">
        <v>8</v>
      </c>
      <c r="D10" s="1">
        <v>327</v>
      </c>
      <c r="E10" s="1">
        <v>850</v>
      </c>
      <c r="F10" s="1">
        <f t="shared" si="0"/>
        <v>178.5</v>
      </c>
      <c r="G10" s="1">
        <f t="shared" si="3"/>
        <v>671.5</v>
      </c>
      <c r="H10" s="1">
        <f t="shared" si="1"/>
        <v>141.01499999999999</v>
      </c>
      <c r="I10" s="1">
        <f t="shared" si="2"/>
        <v>38.356079999999992</v>
      </c>
      <c r="J10" s="1">
        <f t="shared" si="4"/>
        <v>2.5382699999999994</v>
      </c>
      <c r="K10" s="1">
        <f t="shared" si="5"/>
        <v>6.4161824999999997</v>
      </c>
      <c r="L10" s="1">
        <f t="shared" si="6"/>
        <v>10.082572499999999</v>
      </c>
      <c r="M10" s="5">
        <f t="shared" si="7"/>
        <v>6.134152499999999</v>
      </c>
      <c r="N10" s="5"/>
      <c r="W10" s="5"/>
    </row>
    <row r="11" spans="1:23" ht="17" x14ac:dyDescent="0.2">
      <c r="A11" s="1">
        <v>13</v>
      </c>
      <c r="B11" s="1" t="s">
        <v>16</v>
      </c>
      <c r="C11" s="1" t="s">
        <v>8</v>
      </c>
      <c r="D11" s="1">
        <v>423</v>
      </c>
      <c r="E11" s="1">
        <v>1100</v>
      </c>
      <c r="F11" s="1">
        <f t="shared" si="0"/>
        <v>231</v>
      </c>
      <c r="G11" s="1">
        <f t="shared" si="3"/>
        <v>869</v>
      </c>
      <c r="H11" s="1">
        <f t="shared" si="1"/>
        <v>182.48999999999998</v>
      </c>
      <c r="I11" s="1">
        <f t="shared" si="2"/>
        <v>49.63727999999999</v>
      </c>
      <c r="J11" s="1">
        <f t="shared" si="4"/>
        <v>3.2848199999999994</v>
      </c>
      <c r="K11" s="1">
        <f t="shared" si="5"/>
        <v>8.3032949999999985</v>
      </c>
      <c r="L11" s="1">
        <f t="shared" si="6"/>
        <v>13.048034999999999</v>
      </c>
      <c r="M11" s="5">
        <f t="shared" si="7"/>
        <v>7.9383149999999985</v>
      </c>
      <c r="N11" s="5"/>
      <c r="W11" s="5"/>
    </row>
    <row r="12" spans="1:23" ht="17" x14ac:dyDescent="0.2">
      <c r="A12" s="1">
        <v>14</v>
      </c>
      <c r="B12" s="1" t="s">
        <v>17</v>
      </c>
      <c r="C12" s="1" t="s">
        <v>8</v>
      </c>
      <c r="D12" s="1">
        <v>256</v>
      </c>
      <c r="E12" s="1">
        <v>667</v>
      </c>
      <c r="F12" s="1">
        <f t="shared" si="0"/>
        <v>140.07</v>
      </c>
      <c r="G12" s="1">
        <f t="shared" si="3"/>
        <v>526.93000000000006</v>
      </c>
      <c r="H12" s="1">
        <f t="shared" si="1"/>
        <v>110.65530000000001</v>
      </c>
      <c r="I12" s="1">
        <f t="shared" si="2"/>
        <v>30.098241600000001</v>
      </c>
      <c r="J12" s="1">
        <f t="shared" si="4"/>
        <v>1.9917954</v>
      </c>
      <c r="K12" s="1">
        <f t="shared" si="5"/>
        <v>5.0348161500000002</v>
      </c>
      <c r="L12" s="1">
        <f t="shared" si="6"/>
        <v>7.9118539500000011</v>
      </c>
      <c r="M12" s="5">
        <f t="shared" si="7"/>
        <v>4.8135055500000004</v>
      </c>
      <c r="N12" s="5"/>
      <c r="W12" s="5"/>
    </row>
    <row r="13" spans="1:23" ht="17" x14ac:dyDescent="0.2">
      <c r="A13" s="1">
        <v>14</v>
      </c>
      <c r="B13" s="1" t="s">
        <v>18</v>
      </c>
      <c r="C13" s="1" t="s">
        <v>8</v>
      </c>
      <c r="D13" s="1">
        <v>504</v>
      </c>
      <c r="E13" s="1">
        <v>1310</v>
      </c>
      <c r="F13" s="1">
        <f t="shared" si="0"/>
        <v>275.09999999999997</v>
      </c>
      <c r="G13" s="1">
        <f t="shared" si="3"/>
        <v>1034.9000000000001</v>
      </c>
      <c r="H13" s="1">
        <f t="shared" si="1"/>
        <v>217.32900000000001</v>
      </c>
      <c r="I13" s="1">
        <f t="shared" si="2"/>
        <v>59.113488000000004</v>
      </c>
      <c r="J13" s="1">
        <f t="shared" si="4"/>
        <v>3.9119219999999997</v>
      </c>
      <c r="K13" s="1">
        <f t="shared" si="5"/>
        <v>9.8884694999999994</v>
      </c>
      <c r="L13" s="1">
        <f t="shared" si="6"/>
        <v>15.539023500000003</v>
      </c>
      <c r="M13" s="5">
        <f t="shared" si="7"/>
        <v>9.4538115000000005</v>
      </c>
      <c r="N13" s="5"/>
      <c r="W13" s="5"/>
    </row>
    <row r="14" spans="1:23" ht="17" x14ac:dyDescent="0.2">
      <c r="A14" s="1">
        <v>15</v>
      </c>
      <c r="B14" s="1" t="s">
        <v>19</v>
      </c>
      <c r="C14" s="1" t="s">
        <v>8</v>
      </c>
      <c r="D14" s="1">
        <v>536</v>
      </c>
      <c r="E14" s="1">
        <v>1392</v>
      </c>
      <c r="F14" s="1">
        <f t="shared" si="0"/>
        <v>292.32</v>
      </c>
      <c r="G14" s="1">
        <f t="shared" si="3"/>
        <v>1099.68</v>
      </c>
      <c r="H14" s="1">
        <f t="shared" si="1"/>
        <v>230.93280000000001</v>
      </c>
      <c r="I14" s="1">
        <f t="shared" si="2"/>
        <v>62.813721600000008</v>
      </c>
      <c r="J14" s="1">
        <f t="shared" si="4"/>
        <v>4.1567904000000002</v>
      </c>
      <c r="K14" s="1">
        <f t="shared" si="5"/>
        <v>10.5074424</v>
      </c>
      <c r="L14" s="1">
        <f t="shared" si="6"/>
        <v>16.511695200000002</v>
      </c>
      <c r="M14" s="5">
        <f t="shared" si="7"/>
        <v>10.045576799999999</v>
      </c>
      <c r="N14" s="5"/>
      <c r="W14" s="5"/>
    </row>
    <row r="15" spans="1:23" ht="17" x14ac:dyDescent="0.2">
      <c r="A15" s="1">
        <v>15</v>
      </c>
      <c r="B15" s="1" t="s">
        <v>20</v>
      </c>
      <c r="C15" s="1" t="s">
        <v>8</v>
      </c>
      <c r="D15" s="1">
        <v>229</v>
      </c>
      <c r="E15" s="1">
        <v>595</v>
      </c>
      <c r="F15" s="1">
        <f t="shared" si="0"/>
        <v>124.94999999999999</v>
      </c>
      <c r="G15" s="1">
        <f t="shared" si="3"/>
        <v>470.05</v>
      </c>
      <c r="H15" s="1">
        <f t="shared" si="1"/>
        <v>98.710499999999996</v>
      </c>
      <c r="I15" s="1">
        <f t="shared" si="2"/>
        <v>26.849256</v>
      </c>
      <c r="J15" s="1">
        <f t="shared" si="4"/>
        <v>1.776789</v>
      </c>
      <c r="K15" s="1">
        <f t="shared" si="5"/>
        <v>4.4913277499999991</v>
      </c>
      <c r="L15" s="1">
        <f t="shared" si="6"/>
        <v>7.0578007500000002</v>
      </c>
      <c r="M15" s="5">
        <f t="shared" si="7"/>
        <v>4.2939067499999997</v>
      </c>
      <c r="N15" s="5"/>
      <c r="W15" s="5"/>
    </row>
    <row r="16" spans="1:23" ht="17" x14ac:dyDescent="0.2">
      <c r="A16" s="1">
        <v>16</v>
      </c>
      <c r="B16" s="1" t="s">
        <v>21</v>
      </c>
      <c r="C16" s="1" t="s">
        <v>8</v>
      </c>
      <c r="D16" s="1">
        <v>460</v>
      </c>
      <c r="E16" s="1">
        <v>1196</v>
      </c>
      <c r="F16" s="1">
        <f t="shared" si="0"/>
        <v>251.16</v>
      </c>
      <c r="G16" s="1">
        <f t="shared" si="3"/>
        <v>944.84</v>
      </c>
      <c r="H16" s="1">
        <f t="shared" si="1"/>
        <v>198.41640000000001</v>
      </c>
      <c r="I16" s="1">
        <f t="shared" si="2"/>
        <v>53.969260800000001</v>
      </c>
      <c r="J16" s="1">
        <f t="shared" si="4"/>
        <v>3.5714952000000002</v>
      </c>
      <c r="K16" s="1">
        <f t="shared" si="5"/>
        <v>9.0279462000000006</v>
      </c>
      <c r="L16" s="1">
        <f t="shared" si="6"/>
        <v>14.186772600000001</v>
      </c>
      <c r="M16" s="5">
        <f t="shared" si="7"/>
        <v>8.6311134000000003</v>
      </c>
      <c r="N16" s="5"/>
      <c r="W16" s="5"/>
    </row>
    <row r="17" spans="1:23" ht="17" x14ac:dyDescent="0.2">
      <c r="A17" s="1">
        <v>19</v>
      </c>
      <c r="B17" s="1" t="s">
        <v>22</v>
      </c>
      <c r="C17" s="1" t="s">
        <v>8</v>
      </c>
      <c r="D17" s="1">
        <v>418</v>
      </c>
      <c r="E17" s="1">
        <v>1087</v>
      </c>
      <c r="F17" s="1">
        <f t="shared" si="0"/>
        <v>228.26999999999998</v>
      </c>
      <c r="G17" s="1">
        <f t="shared" si="3"/>
        <v>858.73</v>
      </c>
      <c r="H17" s="1">
        <f t="shared" si="1"/>
        <v>180.33330000000001</v>
      </c>
      <c r="I17" s="1">
        <f t="shared" si="2"/>
        <v>49.050657600000001</v>
      </c>
      <c r="J17" s="1">
        <f t="shared" si="4"/>
        <v>3.2459994000000001</v>
      </c>
      <c r="K17" s="1">
        <f t="shared" si="5"/>
        <v>8.2051651500000009</v>
      </c>
      <c r="L17" s="1">
        <f t="shared" si="6"/>
        <v>12.893830950000002</v>
      </c>
      <c r="M17" s="5">
        <f t="shared" si="7"/>
        <v>7.8444985499999991</v>
      </c>
      <c r="N17" s="5"/>
      <c r="W17" s="5"/>
    </row>
    <row r="18" spans="1:23" ht="17" x14ac:dyDescent="0.2">
      <c r="A18" s="1">
        <v>20</v>
      </c>
      <c r="B18" s="1" t="s">
        <v>23</v>
      </c>
      <c r="C18" s="1" t="s">
        <v>8</v>
      </c>
      <c r="D18" s="1">
        <v>256</v>
      </c>
      <c r="E18" s="1">
        <v>665</v>
      </c>
      <c r="F18" s="1">
        <f t="shared" si="0"/>
        <v>139.65</v>
      </c>
      <c r="G18" s="1">
        <f t="shared" si="3"/>
        <v>525.35</v>
      </c>
      <c r="H18" s="1">
        <f t="shared" si="1"/>
        <v>110.3235</v>
      </c>
      <c r="I18" s="1">
        <f t="shared" si="2"/>
        <v>30.007991999999998</v>
      </c>
      <c r="J18" s="1">
        <f t="shared" si="4"/>
        <v>1.9858229999999997</v>
      </c>
      <c r="K18" s="1">
        <f t="shared" si="5"/>
        <v>5.0197192499999996</v>
      </c>
      <c r="L18" s="1">
        <f t="shared" si="6"/>
        <v>7.8881302499999997</v>
      </c>
      <c r="M18" s="5">
        <f t="shared" si="7"/>
        <v>4.7990722499999992</v>
      </c>
      <c r="N18" s="5"/>
      <c r="W18" s="5"/>
    </row>
    <row r="19" spans="1:23" ht="17" x14ac:dyDescent="0.2">
      <c r="A19" s="1">
        <v>21</v>
      </c>
      <c r="B19" s="1" t="s">
        <v>24</v>
      </c>
      <c r="C19" s="1" t="s">
        <v>8</v>
      </c>
      <c r="D19" s="1">
        <v>287</v>
      </c>
      <c r="E19" s="1">
        <v>747</v>
      </c>
      <c r="F19" s="1">
        <f t="shared" si="0"/>
        <v>156.87</v>
      </c>
      <c r="G19" s="1">
        <f t="shared" si="3"/>
        <v>590.13</v>
      </c>
      <c r="H19" s="1">
        <f t="shared" si="1"/>
        <v>123.92729999999999</v>
      </c>
      <c r="I19" s="1">
        <f t="shared" si="2"/>
        <v>33.708225599999992</v>
      </c>
      <c r="J19" s="1">
        <f t="shared" si="4"/>
        <v>2.2306913999999995</v>
      </c>
      <c r="K19" s="1">
        <f t="shared" si="5"/>
        <v>5.6386921499999989</v>
      </c>
      <c r="L19" s="1">
        <f t="shared" si="6"/>
        <v>8.860801949999999</v>
      </c>
      <c r="M19" s="5">
        <f t="shared" si="7"/>
        <v>5.3908375499999996</v>
      </c>
      <c r="N19" s="5"/>
      <c r="W19" s="5"/>
    </row>
    <row r="20" spans="1:23" ht="17" x14ac:dyDescent="0.2">
      <c r="A20" s="1">
        <v>199</v>
      </c>
      <c r="B20" s="1" t="s">
        <v>25</v>
      </c>
      <c r="C20" s="1" t="s">
        <v>8</v>
      </c>
      <c r="D20" s="1">
        <v>207</v>
      </c>
      <c r="E20" s="1">
        <v>518</v>
      </c>
      <c r="F20" s="1">
        <f t="shared" si="0"/>
        <v>108.78</v>
      </c>
      <c r="G20" s="1">
        <f t="shared" si="3"/>
        <v>409.22</v>
      </c>
      <c r="H20" s="1">
        <f t="shared" si="1"/>
        <v>85.936199999999999</v>
      </c>
      <c r="I20" s="1">
        <f t="shared" si="2"/>
        <v>23.3746464</v>
      </c>
      <c r="J20" s="1">
        <f t="shared" si="4"/>
        <v>1.5468515999999999</v>
      </c>
      <c r="K20" s="1">
        <f t="shared" si="5"/>
        <v>3.9100970999999998</v>
      </c>
      <c r="L20" s="1">
        <f t="shared" si="6"/>
        <v>6.1444383000000009</v>
      </c>
      <c r="M20" s="5">
        <f t="shared" si="7"/>
        <v>3.7382247</v>
      </c>
      <c r="N20" s="5"/>
      <c r="W20" s="5"/>
    </row>
    <row r="21" spans="1:23" ht="17" x14ac:dyDescent="0.2">
      <c r="A21" s="1">
        <v>993</v>
      </c>
      <c r="B21" s="1" t="s">
        <v>26</v>
      </c>
      <c r="C21" s="1" t="s">
        <v>8</v>
      </c>
      <c r="D21" s="1">
        <v>106</v>
      </c>
      <c r="E21" s="1">
        <v>265</v>
      </c>
      <c r="F21" s="1">
        <f t="shared" si="0"/>
        <v>55.65</v>
      </c>
      <c r="G21" s="1">
        <f t="shared" si="3"/>
        <v>209.35000000000002</v>
      </c>
      <c r="H21" s="1">
        <f t="shared" si="1"/>
        <v>43.963500000000003</v>
      </c>
      <c r="I21" s="1">
        <f t="shared" si="2"/>
        <v>11.958072000000001</v>
      </c>
      <c r="J21" s="1">
        <f t="shared" si="4"/>
        <v>0.79134300000000002</v>
      </c>
      <c r="K21" s="1">
        <f t="shared" si="5"/>
        <v>2.0003392500000001</v>
      </c>
      <c r="L21" s="1">
        <f t="shared" si="6"/>
        <v>3.1433902499999999</v>
      </c>
      <c r="M21" s="5">
        <f t="shared" si="7"/>
        <v>1.91241225</v>
      </c>
      <c r="N21" s="5"/>
      <c r="W21" s="5"/>
    </row>
    <row r="22" spans="1:23" ht="17" x14ac:dyDescent="0.2">
      <c r="A22" s="1">
        <v>232</v>
      </c>
      <c r="B22" s="1" t="s">
        <v>27</v>
      </c>
      <c r="C22" s="1" t="s">
        <v>8</v>
      </c>
      <c r="D22" s="1">
        <v>33</v>
      </c>
      <c r="E22" s="1">
        <v>83</v>
      </c>
      <c r="F22" s="1">
        <f t="shared" si="0"/>
        <v>17.43</v>
      </c>
      <c r="G22" s="1">
        <f t="shared" si="3"/>
        <v>65.570000000000007</v>
      </c>
      <c r="H22" s="1">
        <f t="shared" si="1"/>
        <v>13.7697</v>
      </c>
      <c r="I22" s="1">
        <f t="shared" si="2"/>
        <v>3.7453584000000002</v>
      </c>
      <c r="J22" s="1">
        <f t="shared" si="4"/>
        <v>0.24785459999999998</v>
      </c>
      <c r="K22" s="1">
        <f t="shared" si="5"/>
        <v>0.62652134999999998</v>
      </c>
      <c r="L22" s="1">
        <f t="shared" si="6"/>
        <v>0.98453354999999998</v>
      </c>
      <c r="M22" s="5">
        <f t="shared" si="7"/>
        <v>0.59898194999999999</v>
      </c>
      <c r="N22" s="5"/>
      <c r="W22" s="5"/>
    </row>
    <row r="23" spans="1:23" ht="17" x14ac:dyDescent="0.2">
      <c r="A23" s="1">
        <v>3223</v>
      </c>
      <c r="B23" s="1" t="s">
        <v>28</v>
      </c>
      <c r="C23" s="1" t="s">
        <v>8</v>
      </c>
      <c r="D23" s="1">
        <v>238</v>
      </c>
      <c r="E23" s="1">
        <v>595</v>
      </c>
      <c r="F23" s="1">
        <f t="shared" si="0"/>
        <v>124.94999999999999</v>
      </c>
      <c r="G23" s="1">
        <f t="shared" si="3"/>
        <v>470.05</v>
      </c>
      <c r="H23" s="1">
        <f t="shared" si="1"/>
        <v>98.710499999999996</v>
      </c>
      <c r="I23" s="1">
        <f t="shared" si="2"/>
        <v>26.849256</v>
      </c>
      <c r="J23" s="1">
        <f t="shared" si="4"/>
        <v>1.776789</v>
      </c>
      <c r="K23" s="1">
        <f t="shared" si="5"/>
        <v>4.4913277499999991</v>
      </c>
      <c r="L23" s="1">
        <f t="shared" si="6"/>
        <v>7.0578007500000002</v>
      </c>
      <c r="M23" s="5">
        <f t="shared" si="7"/>
        <v>4.2939067499999997</v>
      </c>
      <c r="N23" s="5"/>
      <c r="W23" s="5"/>
    </row>
    <row r="24" spans="1:23" ht="17" x14ac:dyDescent="0.2">
      <c r="A24" s="1">
        <v>3233</v>
      </c>
      <c r="B24" s="1" t="s">
        <v>29</v>
      </c>
      <c r="C24" s="1" t="s">
        <v>8</v>
      </c>
      <c r="D24" s="1">
        <v>127</v>
      </c>
      <c r="E24" s="1">
        <v>318</v>
      </c>
      <c r="F24" s="1">
        <f t="shared" si="0"/>
        <v>66.78</v>
      </c>
      <c r="G24" s="1">
        <f t="shared" si="3"/>
        <v>251.22</v>
      </c>
      <c r="H24" s="1">
        <f t="shared" si="1"/>
        <v>52.7562</v>
      </c>
      <c r="I24" s="1">
        <f t="shared" si="2"/>
        <v>14.3496864</v>
      </c>
      <c r="J24" s="1">
        <f t="shared" si="4"/>
        <v>0.9496116</v>
      </c>
      <c r="K24" s="1">
        <f t="shared" si="5"/>
        <v>2.4004070999999998</v>
      </c>
      <c r="L24" s="1">
        <f t="shared" si="6"/>
        <v>3.7720682999999999</v>
      </c>
      <c r="M24" s="5">
        <f t="shared" si="7"/>
        <v>2.2948946999999995</v>
      </c>
      <c r="N24" s="5"/>
      <c r="W24" s="5"/>
    </row>
    <row r="25" spans="1:23" ht="17" x14ac:dyDescent="0.2">
      <c r="A25" s="1">
        <v>234</v>
      </c>
      <c r="B25" s="1" t="s">
        <v>30</v>
      </c>
      <c r="C25" s="1" t="s">
        <v>8</v>
      </c>
      <c r="D25" s="1">
        <v>72</v>
      </c>
      <c r="E25" s="1">
        <v>180</v>
      </c>
      <c r="F25" s="1">
        <f t="shared" si="0"/>
        <v>37.799999999999997</v>
      </c>
      <c r="G25" s="1">
        <f t="shared" si="3"/>
        <v>142.20000000000002</v>
      </c>
      <c r="H25" s="1">
        <f t="shared" si="1"/>
        <v>29.862000000000002</v>
      </c>
      <c r="I25" s="1">
        <f t="shared" si="2"/>
        <v>8.1224640000000008</v>
      </c>
      <c r="J25" s="1">
        <f t="shared" si="4"/>
        <v>0.53751599999999999</v>
      </c>
      <c r="K25" s="1">
        <f t="shared" si="5"/>
        <v>1.3587210000000001</v>
      </c>
      <c r="L25" s="1">
        <f t="shared" si="6"/>
        <v>2.1351330000000002</v>
      </c>
      <c r="M25" s="5">
        <f t="shared" si="7"/>
        <v>1.2989969999999997</v>
      </c>
      <c r="N25" s="5"/>
      <c r="W25" s="5"/>
    </row>
    <row r="26" spans="1:23" ht="17" x14ac:dyDescent="0.2">
      <c r="A26" s="1">
        <v>32321</v>
      </c>
      <c r="B26" s="1" t="s">
        <v>31</v>
      </c>
      <c r="C26" s="1" t="s">
        <v>8</v>
      </c>
      <c r="D26" s="1">
        <v>204</v>
      </c>
      <c r="E26" s="1">
        <v>510</v>
      </c>
      <c r="F26" s="1">
        <f t="shared" si="0"/>
        <v>107.1</v>
      </c>
      <c r="G26" s="1">
        <f t="shared" si="3"/>
        <v>402.90000000000003</v>
      </c>
      <c r="H26" s="1">
        <f t="shared" si="1"/>
        <v>84.609000000000009</v>
      </c>
      <c r="I26" s="1">
        <f t="shared" si="2"/>
        <v>23.013648000000003</v>
      </c>
      <c r="J26" s="1">
        <f t="shared" si="4"/>
        <v>1.5229620000000001</v>
      </c>
      <c r="K26" s="1">
        <f t="shared" si="5"/>
        <v>3.8497095000000003</v>
      </c>
      <c r="L26" s="1">
        <f t="shared" si="6"/>
        <v>6.0495435000000004</v>
      </c>
      <c r="M26" s="5">
        <f t="shared" si="7"/>
        <v>3.6804914999999996</v>
      </c>
      <c r="N26" s="5"/>
      <c r="W26" s="5"/>
    </row>
    <row r="27" spans="1:23" ht="17" x14ac:dyDescent="0.2">
      <c r="A27" s="1">
        <v>3243</v>
      </c>
      <c r="B27" s="1" t="s">
        <v>32</v>
      </c>
      <c r="C27" s="1" t="s">
        <v>8</v>
      </c>
      <c r="D27" s="1">
        <v>128</v>
      </c>
      <c r="E27" s="1">
        <v>320</v>
      </c>
      <c r="F27" s="1">
        <f t="shared" si="0"/>
        <v>67.2</v>
      </c>
      <c r="G27" s="1">
        <f t="shared" si="3"/>
        <v>252.8</v>
      </c>
      <c r="H27" s="1">
        <f t="shared" si="1"/>
        <v>53.088000000000001</v>
      </c>
      <c r="I27" s="1">
        <f t="shared" si="2"/>
        <v>14.439935999999999</v>
      </c>
      <c r="J27" s="1">
        <f t="shared" si="4"/>
        <v>0.95558399999999999</v>
      </c>
      <c r="K27" s="1">
        <f t="shared" si="5"/>
        <v>2.4155039999999999</v>
      </c>
      <c r="L27" s="1">
        <f t="shared" si="6"/>
        <v>3.7957920000000005</v>
      </c>
      <c r="M27" s="5">
        <f t="shared" si="7"/>
        <v>2.3093279999999998</v>
      </c>
      <c r="N27" s="5"/>
      <c r="W27" s="5"/>
    </row>
    <row r="28" spans="1:23" ht="17" x14ac:dyDescent="0.2">
      <c r="A28" s="1">
        <v>2398</v>
      </c>
      <c r="B28" s="1" t="s">
        <v>33</v>
      </c>
      <c r="C28" s="1" t="s">
        <v>8</v>
      </c>
      <c r="D28" s="1">
        <v>74</v>
      </c>
      <c r="E28" s="1">
        <v>185</v>
      </c>
      <c r="F28" s="1">
        <f t="shared" si="0"/>
        <v>38.85</v>
      </c>
      <c r="G28" s="1">
        <f t="shared" si="3"/>
        <v>146.15</v>
      </c>
      <c r="H28" s="1">
        <f t="shared" si="1"/>
        <v>30.691500000000001</v>
      </c>
      <c r="I28" s="1">
        <f t="shared" si="2"/>
        <v>8.3480879999999988</v>
      </c>
      <c r="J28" s="1">
        <f t="shared" si="4"/>
        <v>0.55244700000000002</v>
      </c>
      <c r="K28" s="1">
        <f t="shared" si="5"/>
        <v>1.39646325</v>
      </c>
      <c r="L28" s="1">
        <f t="shared" si="6"/>
        <v>2.1944422500000003</v>
      </c>
      <c r="M28" s="5">
        <f t="shared" si="7"/>
        <v>1.3350802499999999</v>
      </c>
      <c r="N28" s="5"/>
      <c r="W28" s="5"/>
    </row>
    <row r="29" spans="1:23" ht="17" x14ac:dyDescent="0.2">
      <c r="A29" s="1">
        <v>2343</v>
      </c>
      <c r="B29" s="1" t="s">
        <v>34</v>
      </c>
      <c r="C29" s="1" t="s">
        <v>8</v>
      </c>
      <c r="D29" s="1">
        <v>134</v>
      </c>
      <c r="E29" s="1">
        <v>335</v>
      </c>
      <c r="F29" s="1">
        <f t="shared" si="0"/>
        <v>70.349999999999994</v>
      </c>
      <c r="G29" s="1">
        <f t="shared" si="3"/>
        <v>264.65000000000003</v>
      </c>
      <c r="H29" s="1">
        <f t="shared" si="1"/>
        <v>55.576500000000003</v>
      </c>
      <c r="I29" s="1">
        <f t="shared" si="2"/>
        <v>15.116808000000001</v>
      </c>
      <c r="J29" s="1">
        <f t="shared" si="4"/>
        <v>1.0003769999999998</v>
      </c>
      <c r="K29" s="1">
        <f t="shared" si="5"/>
        <v>2.5287307500000002</v>
      </c>
      <c r="L29" s="1">
        <f t="shared" si="6"/>
        <v>3.9737197500000008</v>
      </c>
      <c r="M29" s="5">
        <f t="shared" si="7"/>
        <v>2.41757775</v>
      </c>
      <c r="N29" s="5"/>
      <c r="W29" s="5"/>
    </row>
    <row r="30" spans="1:23" ht="17" x14ac:dyDescent="0.2">
      <c r="A30" s="1">
        <v>2387</v>
      </c>
      <c r="B30" s="1" t="s">
        <v>35</v>
      </c>
      <c r="C30" s="1" t="s">
        <v>8</v>
      </c>
      <c r="D30" s="1">
        <v>301</v>
      </c>
      <c r="E30" s="1">
        <v>753</v>
      </c>
      <c r="F30" s="1">
        <f t="shared" si="0"/>
        <v>158.13</v>
      </c>
      <c r="G30" s="1">
        <f t="shared" si="3"/>
        <v>594.87</v>
      </c>
      <c r="H30" s="1">
        <f t="shared" si="1"/>
        <v>124.92269999999999</v>
      </c>
      <c r="I30" s="1">
        <f t="shared" si="2"/>
        <v>33.978974399999998</v>
      </c>
      <c r="J30" s="1">
        <f t="shared" si="4"/>
        <v>2.2486085999999998</v>
      </c>
      <c r="K30" s="1">
        <f t="shared" si="5"/>
        <v>5.6839828499999987</v>
      </c>
      <c r="L30" s="1">
        <f t="shared" si="6"/>
        <v>8.9319730499999999</v>
      </c>
      <c r="M30" s="5">
        <f t="shared" si="7"/>
        <v>5.4341374499999988</v>
      </c>
      <c r="N30" s="5"/>
      <c r="W30" s="5"/>
    </row>
    <row r="31" spans="1:23" ht="17" x14ac:dyDescent="0.2">
      <c r="A31" s="1">
        <v>82765</v>
      </c>
      <c r="B31" s="1" t="s">
        <v>36</v>
      </c>
      <c r="C31" s="1" t="s">
        <v>8</v>
      </c>
      <c r="D31" s="1">
        <v>253</v>
      </c>
      <c r="E31" s="1">
        <v>633</v>
      </c>
      <c r="F31" s="1">
        <f t="shared" si="0"/>
        <v>132.93</v>
      </c>
      <c r="G31" s="1">
        <f t="shared" si="3"/>
        <v>500.07000000000005</v>
      </c>
      <c r="H31" s="1">
        <f t="shared" si="1"/>
        <v>105.0147</v>
      </c>
      <c r="I31" s="1">
        <f t="shared" si="2"/>
        <v>28.563998400000003</v>
      </c>
      <c r="J31" s="1">
        <f t="shared" si="4"/>
        <v>1.8902645999999999</v>
      </c>
      <c r="K31" s="1">
        <f t="shared" si="5"/>
        <v>4.7781688500000001</v>
      </c>
      <c r="L31" s="1">
        <f t="shared" si="6"/>
        <v>7.5085510500000003</v>
      </c>
      <c r="M31" s="5">
        <f t="shared" si="7"/>
        <v>4.5681394500000003</v>
      </c>
      <c r="N31" s="5"/>
      <c r="W31" s="5"/>
    </row>
    <row r="32" spans="1:23" ht="17" x14ac:dyDescent="0.2">
      <c r="A32" s="1">
        <v>8785</v>
      </c>
      <c r="B32" s="1" t="s">
        <v>37</v>
      </c>
      <c r="C32" s="1" t="s">
        <v>8</v>
      </c>
      <c r="D32" s="1">
        <v>173</v>
      </c>
      <c r="E32" s="1">
        <v>433</v>
      </c>
      <c r="F32" s="1">
        <f t="shared" si="0"/>
        <v>90.929999999999993</v>
      </c>
      <c r="G32" s="1">
        <f t="shared" si="3"/>
        <v>342.07</v>
      </c>
      <c r="H32" s="1">
        <f t="shared" si="1"/>
        <v>71.834699999999998</v>
      </c>
      <c r="I32" s="1">
        <f t="shared" si="2"/>
        <v>19.539038399999999</v>
      </c>
      <c r="J32" s="1">
        <f t="shared" si="4"/>
        <v>1.2930245999999999</v>
      </c>
      <c r="K32" s="1">
        <f t="shared" si="5"/>
        <v>3.2684788500000002</v>
      </c>
      <c r="L32" s="1">
        <f t="shared" si="6"/>
        <v>5.1361810499999994</v>
      </c>
      <c r="M32" s="5">
        <f t="shared" si="7"/>
        <v>3.1248094499999994</v>
      </c>
      <c r="N32" s="5"/>
      <c r="W32" s="5"/>
    </row>
    <row r="33" spans="1:23" ht="17" x14ac:dyDescent="0.2">
      <c r="A33" s="1">
        <v>211</v>
      </c>
      <c r="B33" s="1" t="s">
        <v>38</v>
      </c>
      <c r="C33" s="1" t="s">
        <v>8</v>
      </c>
      <c r="D33" s="1">
        <v>301</v>
      </c>
      <c r="E33" s="1">
        <v>753</v>
      </c>
      <c r="F33" s="1">
        <f t="shared" si="0"/>
        <v>158.13</v>
      </c>
      <c r="G33" s="1">
        <f t="shared" si="3"/>
        <v>594.87</v>
      </c>
      <c r="H33" s="1">
        <f t="shared" si="1"/>
        <v>124.92269999999999</v>
      </c>
      <c r="I33" s="1">
        <f t="shared" si="2"/>
        <v>33.978974399999998</v>
      </c>
      <c r="J33" s="1">
        <f t="shared" si="4"/>
        <v>2.2486085999999998</v>
      </c>
      <c r="K33" s="1">
        <f t="shared" si="5"/>
        <v>5.6839828499999987</v>
      </c>
      <c r="L33" s="1">
        <f t="shared" si="6"/>
        <v>8.9319730499999999</v>
      </c>
      <c r="M33" s="5">
        <f t="shared" si="7"/>
        <v>5.4341374499999988</v>
      </c>
      <c r="N33" s="5"/>
      <c r="W33" s="5"/>
    </row>
    <row r="34" spans="1:23" ht="17" x14ac:dyDescent="0.2">
      <c r="A34" s="1">
        <v>34532</v>
      </c>
      <c r="B34" s="1" t="s">
        <v>39</v>
      </c>
      <c r="C34" s="1" t="s">
        <v>6</v>
      </c>
      <c r="D34" s="1">
        <v>173</v>
      </c>
      <c r="E34" s="1">
        <v>433</v>
      </c>
      <c r="F34" s="1">
        <f t="shared" si="0"/>
        <v>90.929999999999993</v>
      </c>
      <c r="G34" s="1">
        <f t="shared" si="3"/>
        <v>342.07</v>
      </c>
      <c r="H34" s="1">
        <f t="shared" si="1"/>
        <v>71.834699999999998</v>
      </c>
      <c r="I34" s="1">
        <f t="shared" si="2"/>
        <v>19.539038399999999</v>
      </c>
      <c r="J34" s="1">
        <f t="shared" si="4"/>
        <v>1.2930245999999999</v>
      </c>
      <c r="K34" s="1">
        <f t="shared" si="5"/>
        <v>3.2684788500000002</v>
      </c>
      <c r="L34" s="1">
        <f t="shared" si="6"/>
        <v>5.1361810499999994</v>
      </c>
      <c r="M34" s="5">
        <f t="shared" si="7"/>
        <v>3.1248094499999994</v>
      </c>
      <c r="N34" s="5"/>
      <c r="W34" s="5"/>
    </row>
    <row r="35" spans="1:23" ht="17" x14ac:dyDescent="0.2">
      <c r="A35" s="1">
        <v>238734</v>
      </c>
      <c r="B35" s="1" t="s">
        <v>40</v>
      </c>
      <c r="C35" s="1" t="s">
        <v>6</v>
      </c>
      <c r="D35" s="1">
        <v>364</v>
      </c>
      <c r="E35" s="1">
        <v>910</v>
      </c>
      <c r="F35" s="1">
        <f t="shared" si="0"/>
        <v>191.1</v>
      </c>
      <c r="G35" s="1">
        <f t="shared" si="3"/>
        <v>718.9</v>
      </c>
      <c r="H35" s="1">
        <f t="shared" si="1"/>
        <v>150.96899999999999</v>
      </c>
      <c r="I35" s="1">
        <f t="shared" si="2"/>
        <v>41.063567999999997</v>
      </c>
      <c r="J35" s="1">
        <f t="shared" si="4"/>
        <v>2.7174419999999997</v>
      </c>
      <c r="K35" s="1">
        <f t="shared" si="5"/>
        <v>6.8690894999999994</v>
      </c>
      <c r="L35" s="1">
        <f t="shared" si="6"/>
        <v>10.794283500000001</v>
      </c>
      <c r="M35" s="5">
        <f t="shared" si="7"/>
        <v>6.5671514999999987</v>
      </c>
      <c r="N35" s="5"/>
      <c r="W35" s="5"/>
    </row>
    <row r="36" spans="1:23" ht="17" x14ac:dyDescent="0.2">
      <c r="A36" s="1">
        <v>348</v>
      </c>
      <c r="B36" s="1" t="s">
        <v>41</v>
      </c>
      <c r="C36" s="1" t="s">
        <v>6</v>
      </c>
      <c r="D36" s="1">
        <v>332</v>
      </c>
      <c r="E36" s="1">
        <v>830</v>
      </c>
      <c r="F36" s="1">
        <f t="shared" si="0"/>
        <v>174.29999999999998</v>
      </c>
      <c r="G36" s="1">
        <f t="shared" si="3"/>
        <v>655.7</v>
      </c>
      <c r="H36" s="1">
        <f t="shared" si="1"/>
        <v>137.697</v>
      </c>
      <c r="I36" s="1">
        <f t="shared" si="2"/>
        <v>37.453583999999999</v>
      </c>
      <c r="J36" s="1">
        <f t="shared" si="4"/>
        <v>2.4785460000000001</v>
      </c>
      <c r="K36" s="1">
        <f t="shared" si="5"/>
        <v>6.2652134999999998</v>
      </c>
      <c r="L36" s="1">
        <f t="shared" si="6"/>
        <v>9.8453355000000009</v>
      </c>
      <c r="M36" s="5">
        <f t="shared" si="7"/>
        <v>5.9898195000000003</v>
      </c>
      <c r="N36" s="5"/>
      <c r="W36" s="5"/>
    </row>
    <row r="37" spans="1:23" ht="17" x14ac:dyDescent="0.2">
      <c r="A37" s="1">
        <v>2389</v>
      </c>
      <c r="B37" s="1" t="s">
        <v>42</v>
      </c>
      <c r="C37" s="1" t="s">
        <v>6</v>
      </c>
      <c r="D37" s="1">
        <v>316</v>
      </c>
      <c r="E37" s="1">
        <v>790</v>
      </c>
      <c r="F37" s="1">
        <f t="shared" si="0"/>
        <v>165.9</v>
      </c>
      <c r="G37" s="1">
        <f t="shared" si="3"/>
        <v>624.1</v>
      </c>
      <c r="H37" s="1">
        <f t="shared" si="1"/>
        <v>131.06100000000001</v>
      </c>
      <c r="I37" s="1">
        <f t="shared" si="2"/>
        <v>35.648592000000001</v>
      </c>
      <c r="J37" s="1">
        <f t="shared" si="4"/>
        <v>2.3590979999999999</v>
      </c>
      <c r="K37" s="1">
        <f t="shared" si="5"/>
        <v>5.9632755000000008</v>
      </c>
      <c r="L37" s="1">
        <f t="shared" si="6"/>
        <v>9.3708615000000002</v>
      </c>
      <c r="M37" s="5">
        <f t="shared" si="7"/>
        <v>5.7011534999999993</v>
      </c>
      <c r="N37" s="5"/>
      <c r="W37" s="5"/>
    </row>
    <row r="38" spans="1:23" ht="17" x14ac:dyDescent="0.2">
      <c r="A38" s="1">
        <v>34132</v>
      </c>
      <c r="B38" s="1" t="s">
        <v>43</v>
      </c>
      <c r="C38" s="1" t="s">
        <v>6</v>
      </c>
      <c r="D38" s="1">
        <v>177</v>
      </c>
      <c r="E38" s="1">
        <v>443</v>
      </c>
      <c r="F38" s="1">
        <f t="shared" si="0"/>
        <v>93.03</v>
      </c>
      <c r="G38" s="1">
        <f t="shared" si="3"/>
        <v>349.97</v>
      </c>
      <c r="H38" s="1">
        <f t="shared" si="1"/>
        <v>73.493700000000004</v>
      </c>
      <c r="I38" s="1">
        <f t="shared" si="2"/>
        <v>19.990286400000002</v>
      </c>
      <c r="J38" s="1">
        <f t="shared" si="4"/>
        <v>1.3228865999999999</v>
      </c>
      <c r="K38" s="1">
        <f t="shared" si="5"/>
        <v>3.3439633500000006</v>
      </c>
      <c r="L38" s="1">
        <f t="shared" si="6"/>
        <v>5.2547995500000004</v>
      </c>
      <c r="M38" s="5">
        <f t="shared" si="7"/>
        <v>3.1969759499999997</v>
      </c>
      <c r="N38" s="5"/>
      <c r="W38" s="5"/>
    </row>
    <row r="40" spans="1:23" x14ac:dyDescent="0.2">
      <c r="M40" s="6"/>
    </row>
    <row r="41" spans="1:23" x14ac:dyDescent="0.2">
      <c r="H41"/>
      <c r="I41"/>
      <c r="J41"/>
      <c r="K41"/>
      <c r="L41"/>
      <c r="M41"/>
    </row>
    <row r="42" spans="1:23" x14ac:dyDescent="0.2">
      <c r="H42"/>
      <c r="I42"/>
      <c r="J42"/>
      <c r="K42"/>
      <c r="L42"/>
      <c r="M4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2026-01-29T17:40:53Z</dcterms:modified>
</cp:coreProperties>
</file>