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B2E8D5FF-FBAF-4240-B7A2-D66DD5E479FD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J5" i="1" l="1"/>
  <c r="J41" i="1"/>
  <c r="J40" i="1"/>
  <c r="J39" i="1"/>
  <c r="K36" i="1"/>
  <c r="K35" i="1"/>
  <c r="K34" i="1"/>
  <c r="K33" i="1"/>
  <c r="K32" i="1"/>
  <c r="K31" i="1"/>
  <c r="K30" i="1"/>
  <c r="K29" i="1"/>
  <c r="J26" i="1"/>
  <c r="J25" i="1"/>
  <c r="J24" i="1"/>
  <c r="J23" i="1"/>
  <c r="K20" i="1"/>
  <c r="K19" i="1"/>
  <c r="K18" i="1"/>
  <c r="K17" i="1"/>
  <c r="K16" i="1"/>
  <c r="K15" i="1"/>
  <c r="K14" i="1"/>
  <c r="K13" i="1"/>
  <c r="J9" i="1"/>
  <c r="J8" i="1"/>
  <c r="J7" i="1"/>
  <c r="K6" i="1"/>
  <c r="K7" i="1"/>
  <c r="K8" i="1"/>
  <c r="K9" i="1"/>
  <c r="K10" i="1"/>
  <c r="K11" i="1"/>
  <c r="K12" i="1"/>
  <c r="K21" i="1"/>
  <c r="K22" i="1"/>
  <c r="K23" i="1"/>
  <c r="K24" i="1"/>
  <c r="K25" i="1"/>
  <c r="K26" i="1"/>
  <c r="K27" i="1"/>
  <c r="K28" i="1"/>
  <c r="K37" i="1"/>
  <c r="K38" i="1"/>
  <c r="K39" i="1"/>
  <c r="K40" i="1"/>
  <c r="K41" i="1"/>
  <c r="K42" i="1"/>
  <c r="K43" i="1"/>
  <c r="J6" i="1"/>
  <c r="J10" i="1"/>
  <c r="J11" i="1"/>
  <c r="J12" i="1"/>
  <c r="J18" i="1"/>
  <c r="J19" i="1"/>
  <c r="J20" i="1"/>
  <c r="J21" i="1"/>
  <c r="J22" i="1"/>
  <c r="J27" i="1"/>
  <c r="J28" i="1"/>
  <c r="J34" i="1"/>
  <c r="J35" i="1"/>
  <c r="J36" i="1"/>
  <c r="J37" i="1"/>
  <c r="J38" i="1"/>
  <c r="J42" i="1"/>
  <c r="J43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5" i="1"/>
  <c r="H5" i="1" s="1"/>
  <c r="H1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G3" i="1"/>
  <c r="H3" i="1" s="1"/>
  <c r="G4" i="1"/>
  <c r="H4" i="1" s="1"/>
  <c r="G2" i="1"/>
  <c r="H2" i="1" s="1"/>
  <c r="J17" i="1" l="1"/>
  <c r="J15" i="1"/>
  <c r="J16" i="1"/>
  <c r="J32" i="1"/>
  <c r="J31" i="1"/>
  <c r="J14" i="1"/>
  <c r="J13" i="1"/>
  <c r="J33" i="1"/>
  <c r="J30" i="1"/>
  <c r="J29" i="1"/>
  <c r="K5" i="1"/>
</calcChain>
</file>

<file path=xl/sharedStrings.xml><?xml version="1.0" encoding="utf-8"?>
<sst xmlns="http://schemas.openxmlformats.org/spreadsheetml/2006/main" count="95" uniqueCount="58">
  <si>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</si>
  <si>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</si>
  <si>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</si>
  <si>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</si>
  <si>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</si>
  <si>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</si>
  <si>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</si>
  <si>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</si>
  <si>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</si>
  <si>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</si>
  <si>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</si>
  <si>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</si>
  <si>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</si>
  <si>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</si>
  <si>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</si>
  <si>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</si>
  <si>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</si>
  <si>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</si>
  <si>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</si>
  <si>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</si>
  <si>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</si>
  <si>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</si>
  <si>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</si>
  <si>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</si>
  <si>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</si>
  <si>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</si>
  <si>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</si>
  <si>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</si>
  <si>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</si>
  <si>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</si>
  <si>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</si>
  <si>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</si>
  <si>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</si>
  <si>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</si>
  <si>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</si>
  <si>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</si>
  <si>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</si>
  <si>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</si>
  <si>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</si>
  <si>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</si>
  <si>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</si>
  <si>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</si>
  <si>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</si>
  <si>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</si>
  <si>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</si>
  <si>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</si>
  <si>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</si>
  <si>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</si>
  <si>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</si>
  <si>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</si>
  <si>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</si>
  <si>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</si>
  <si>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</si>
  <si>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</si>
  <si>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</si>
  <si>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errands_inside</t>
  </si>
  <si>
    <t>errands_at_local_center</t>
  </si>
  <si>
    <t>errands_at_district_center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</si>
</sst>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D47"/>
  <sheetViews>
    <sheetView tabSelected="1" zoomScale="75" workbookViewId="0">
      <selection activeCell="L6" sqref="L6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3.6640625" style="1" customWidth="1"/>
    <col min="10" max="10" width="19.6640625" style="1" customWidth="1"/>
    <col min="11" max="11" width="21.6640625" style="1" customWidth="1"/>
    <col min="12" max="12" width="15.1640625" style="1" bestFit="1" customWidth="1"/>
    <col min="13" max="13" width="16" style="1" customWidth="1"/>
    <col min="14" max="14" width="15.1640625" style="1" bestFit="1" customWidth="1"/>
    <col min="15" max="15" width="13.6640625" style="1" customWidth="1"/>
    <col min="16" max="16" width="14.1640625" style="1" bestFit="1" customWidth="1"/>
    <col min="17" max="17" width="12.33203125" style="1" bestFit="1" customWidth="1"/>
    <col min="18" max="18" width="13.5" style="1" bestFit="1" customWidth="1"/>
    <col min="19" max="19" width="20.1640625" style="1" bestFit="1" customWidth="1"/>
    <col min="20" max="20" width="21.5" style="1" bestFit="1" customWidth="1"/>
    <col min="21" max="21" width="16" style="1" customWidth="1"/>
    <col min="22" max="22" width="15.1640625" style="1" bestFit="1" customWidth="1"/>
    <col min="23" max="23" width="14" style="1" bestFit="1" customWidth="1"/>
    <col min="24" max="24" width="15.1640625" style="1" bestFit="1" customWidth="1"/>
    <col min="25" max="25" width="20.1640625" style="1" bestFit="1" customWidth="1"/>
    <col min="26" max="26" width="21.5" style="1" bestFit="1" customWidth="1"/>
    <col min="27" max="27" width="13" style="1" bestFit="1" customWidth="1"/>
    <col min="28" max="28" width="14.1640625" style="1" bestFit="1" customWidth="1"/>
    <col min="29" max="29" width="12.33203125" style="1" bestFit="1" customWidth="1"/>
    <col min="30" max="30" width="13.5" style="1" bestFit="1" customWidth="1"/>
    <col min="31" max="16384" width="10.83203125" style="1"/>
  </cols>
  <sheetData>
    <row r="1" spans="1:30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 t="s">
        <v>54</v>
      </c>
      <c r="I1" s="2" t="s">
        <v>55</v>
      </c>
      <c r="J1" s="2" t="s">
        <v>56</v>
      </c>
      <c r="K1" s="2" t="s">
        <v>57</v>
      </c>
      <c r="L1" s="2"/>
      <c r="M1" s="4"/>
      <c r="N1" s="2"/>
      <c r="O1" s="2"/>
      <c r="P1" s="2"/>
      <c r="Q1" s="2"/>
      <c r="R1" s="4"/>
      <c r="S1" s="2"/>
      <c r="T1" s="2"/>
      <c r="U1" s="4"/>
      <c r="V1" s="2"/>
      <c r="W1" s="2"/>
      <c r="X1" s="2"/>
      <c r="Y1" s="2"/>
      <c r="Z1" s="2"/>
      <c r="AA1" s="2"/>
      <c r="AB1" s="2"/>
      <c r="AC1" s="2"/>
      <c r="AD1" s="4"/>
    </row>
    <row r="2" spans="1:30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" si="1">D2*0.79</f>
        <v>0</v>
      </c>
      <c r="H2" s="1">
        <f>G2*0.21</f>
        <v>0</v>
      </c>
      <c r="M2" s="5"/>
      <c r="R2" s="5"/>
      <c r="U2" s="5"/>
      <c r="AD2" s="5"/>
    </row>
    <row r="3" spans="1:30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  <c r="H3" s="1">
        <f t="shared" ref="H3:H43" si="2">G3*0.21</f>
        <v>0</v>
      </c>
      <c r="M3" s="5"/>
      <c r="R3" s="5"/>
      <c r="U3" s="5"/>
      <c r="AD3" s="5"/>
    </row>
    <row r="4" spans="1:30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  <c r="M4" s="5"/>
      <c r="R4" s="5"/>
      <c r="U4" s="5"/>
      <c r="AD4" s="5"/>
    </row>
    <row r="5" spans="1:30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 t="shared" si="0"/>
        <v>195.09</v>
      </c>
      <c r="G5" s="1">
        <f>E5*0.79</f>
        <v>733.91000000000008</v>
      </c>
      <c r="H5" s="1">
        <f t="shared" si="2"/>
        <v>154.12110000000001</v>
      </c>
      <c r="I5" s="1">
        <f>$H5*11%*15%</f>
        <v>2.5429981500000003</v>
      </c>
      <c r="J5" s="1">
        <f>I5*25.44%</f>
        <v>0.64693872936000008</v>
      </c>
      <c r="K5" s="1">
        <f>I5*74.55%</f>
        <v>1.895805120825</v>
      </c>
      <c r="M5" s="5"/>
      <c r="R5" s="5"/>
      <c r="S5" s="5"/>
      <c r="T5" s="5"/>
      <c r="U5" s="5"/>
      <c r="AD5" s="5"/>
    </row>
    <row r="6" spans="1:30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ref="G6:G43" si="3">E6*0.79</f>
        <v>541.15</v>
      </c>
      <c r="H6" s="1">
        <f t="shared" si="2"/>
        <v>113.64149999999999</v>
      </c>
      <c r="I6" s="1">
        <f t="shared" ref="I6:I43" si="4">$H6*11%*15%</f>
        <v>1.8750847499999999</v>
      </c>
      <c r="J6" s="1">
        <f t="shared" ref="J6:J43" si="5">I6*25.44%</f>
        <v>0.47702156039999999</v>
      </c>
      <c r="K6" s="1">
        <f t="shared" ref="K6:K43" si="6">I6*74.55%</f>
        <v>1.3978756811249997</v>
      </c>
      <c r="M6" s="5"/>
      <c r="R6" s="5"/>
      <c r="S6" s="5"/>
      <c r="T6" s="5"/>
      <c r="U6" s="5"/>
      <c r="AD6" s="5"/>
    </row>
    <row r="7" spans="1:30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3"/>
        <v>560.11</v>
      </c>
      <c r="H7" s="1">
        <f t="shared" si="2"/>
        <v>117.62309999999999</v>
      </c>
      <c r="I7" s="1">
        <f t="shared" si="4"/>
        <v>1.9407811499999998</v>
      </c>
      <c r="J7" s="1">
        <f t="shared" si="5"/>
        <v>0.49373472456</v>
      </c>
      <c r="K7" s="1">
        <f t="shared" si="6"/>
        <v>1.4468523473249997</v>
      </c>
      <c r="M7" s="5"/>
      <c r="R7" s="5"/>
      <c r="S7" s="5"/>
      <c r="T7" s="5"/>
      <c r="U7" s="5"/>
      <c r="AD7" s="5"/>
    </row>
    <row r="8" spans="1:30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3"/>
        <v>849.25</v>
      </c>
      <c r="H8" s="1">
        <f t="shared" si="2"/>
        <v>178.3425</v>
      </c>
      <c r="I8" s="1">
        <f t="shared" si="4"/>
        <v>2.9426512500000004</v>
      </c>
      <c r="J8" s="1">
        <f t="shared" si="5"/>
        <v>0.74861047800000013</v>
      </c>
      <c r="K8" s="1">
        <f t="shared" si="6"/>
        <v>2.1937465068750002</v>
      </c>
      <c r="M8" s="5"/>
      <c r="R8" s="5"/>
      <c r="S8" s="5"/>
      <c r="T8" s="5"/>
      <c r="U8" s="5"/>
      <c r="AD8" s="5"/>
    </row>
    <row r="9" spans="1:30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3"/>
        <v>699.15</v>
      </c>
      <c r="H9" s="1">
        <f t="shared" si="2"/>
        <v>146.82149999999999</v>
      </c>
      <c r="I9" s="1">
        <f t="shared" si="4"/>
        <v>2.4225547499999993</v>
      </c>
      <c r="J9" s="1">
        <f t="shared" si="5"/>
        <v>0.61629792839999986</v>
      </c>
      <c r="K9" s="1">
        <f t="shared" si="6"/>
        <v>1.8060145661249993</v>
      </c>
      <c r="M9" s="5"/>
      <c r="R9" s="5"/>
      <c r="S9" s="5"/>
      <c r="T9" s="5"/>
      <c r="U9" s="5"/>
      <c r="AD9" s="5"/>
    </row>
    <row r="10" spans="1:30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3"/>
        <v>255.17000000000002</v>
      </c>
      <c r="H10" s="1">
        <f t="shared" si="2"/>
        <v>53.585700000000003</v>
      </c>
      <c r="I10" s="1">
        <f t="shared" si="4"/>
        <v>0.88416404999999998</v>
      </c>
      <c r="J10" s="1">
        <f t="shared" si="5"/>
        <v>0.22493133432000001</v>
      </c>
      <c r="K10" s="1">
        <f t="shared" si="6"/>
        <v>0.65914429927499996</v>
      </c>
      <c r="M10" s="5"/>
      <c r="R10" s="5"/>
      <c r="S10" s="5"/>
      <c r="T10" s="5"/>
      <c r="U10" s="5"/>
      <c r="AD10" s="5"/>
    </row>
    <row r="11" spans="1:30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3"/>
        <v>811.33</v>
      </c>
      <c r="H11" s="1">
        <f t="shared" si="2"/>
        <v>170.3793</v>
      </c>
      <c r="I11" s="1">
        <f t="shared" si="4"/>
        <v>2.81125845</v>
      </c>
      <c r="J11" s="1">
        <f t="shared" si="5"/>
        <v>0.71518414967999999</v>
      </c>
      <c r="K11" s="1">
        <f t="shared" si="6"/>
        <v>2.0957931744749998</v>
      </c>
      <c r="M11" s="5"/>
      <c r="R11" s="5"/>
      <c r="S11" s="5"/>
      <c r="T11" s="5"/>
      <c r="U11" s="5"/>
      <c r="AD11" s="5"/>
    </row>
    <row r="12" spans="1:30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3"/>
        <v>597.24</v>
      </c>
      <c r="H12" s="1">
        <f t="shared" si="2"/>
        <v>125.4204</v>
      </c>
      <c r="I12" s="1">
        <f t="shared" si="4"/>
        <v>2.0694366</v>
      </c>
      <c r="J12" s="1">
        <f t="shared" si="5"/>
        <v>0.52646467104000005</v>
      </c>
      <c r="K12" s="1">
        <f t="shared" si="6"/>
        <v>1.5427649852999998</v>
      </c>
      <c r="M12" s="5"/>
      <c r="R12" s="5"/>
      <c r="S12" s="5"/>
      <c r="T12" s="5"/>
      <c r="U12" s="5"/>
      <c r="AD12" s="5"/>
    </row>
    <row r="13" spans="1:30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3"/>
        <v>671.5</v>
      </c>
      <c r="H13" s="1">
        <f t="shared" si="2"/>
        <v>141.01499999999999</v>
      </c>
      <c r="I13" s="1">
        <f t="shared" si="4"/>
        <v>2.3267474999999997</v>
      </c>
      <c r="J13" s="1">
        <f t="shared" si="5"/>
        <v>0.59192456399999993</v>
      </c>
      <c r="K13" s="1">
        <f t="shared" si="6"/>
        <v>1.7345902612499997</v>
      </c>
      <c r="M13" s="5"/>
      <c r="R13" s="5"/>
      <c r="S13" s="5"/>
      <c r="T13" s="5"/>
      <c r="U13" s="5"/>
      <c r="AD13" s="5"/>
    </row>
    <row r="14" spans="1:30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3"/>
        <v>869</v>
      </c>
      <c r="H14" s="1">
        <f t="shared" si="2"/>
        <v>182.48999999999998</v>
      </c>
      <c r="I14" s="1">
        <f t="shared" si="4"/>
        <v>3.0110849999999996</v>
      </c>
      <c r="J14" s="1">
        <f t="shared" si="5"/>
        <v>0.76602002399999991</v>
      </c>
      <c r="K14" s="1">
        <f t="shared" si="6"/>
        <v>2.2447638674999997</v>
      </c>
      <c r="M14" s="5"/>
      <c r="R14" s="5"/>
      <c r="S14" s="5"/>
      <c r="T14" s="5"/>
      <c r="U14" s="5"/>
      <c r="AD14" s="5"/>
    </row>
    <row r="15" spans="1:30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3"/>
        <v>526.93000000000006</v>
      </c>
      <c r="H15" s="1">
        <f t="shared" si="2"/>
        <v>110.65530000000001</v>
      </c>
      <c r="I15" s="1">
        <f t="shared" si="4"/>
        <v>1.8258124499999999</v>
      </c>
      <c r="J15" s="1">
        <f t="shared" si="5"/>
        <v>0.46448668728000003</v>
      </c>
      <c r="K15" s="1">
        <f t="shared" si="6"/>
        <v>1.3611431814749999</v>
      </c>
      <c r="M15" s="5"/>
      <c r="R15" s="5"/>
      <c r="S15" s="5"/>
      <c r="T15" s="5"/>
      <c r="U15" s="5"/>
      <c r="AD15" s="5"/>
    </row>
    <row r="16" spans="1:30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3"/>
        <v>1034.9000000000001</v>
      </c>
      <c r="H16" s="1">
        <f t="shared" si="2"/>
        <v>217.32900000000001</v>
      </c>
      <c r="I16" s="1">
        <f t="shared" si="4"/>
        <v>3.5859285000000001</v>
      </c>
      <c r="J16" s="1">
        <f t="shared" si="5"/>
        <v>0.91226021040000005</v>
      </c>
      <c r="K16" s="1">
        <f t="shared" si="6"/>
        <v>2.6733096967499996</v>
      </c>
      <c r="M16" s="5"/>
      <c r="R16" s="5"/>
      <c r="S16" s="5"/>
      <c r="T16" s="5"/>
      <c r="U16" s="5"/>
      <c r="AD16" s="5"/>
    </row>
    <row r="17" spans="1:30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3"/>
        <v>1099.68</v>
      </c>
      <c r="H17" s="1">
        <f t="shared" si="2"/>
        <v>230.93280000000001</v>
      </c>
      <c r="I17" s="1">
        <f t="shared" si="4"/>
        <v>3.8103911999999998</v>
      </c>
      <c r="J17" s="1">
        <f t="shared" si="5"/>
        <v>0.96936352128000003</v>
      </c>
      <c r="K17" s="1">
        <f t="shared" si="6"/>
        <v>2.8406466395999996</v>
      </c>
      <c r="M17" s="5"/>
      <c r="R17" s="5"/>
      <c r="S17" s="5"/>
      <c r="T17" s="5"/>
      <c r="U17" s="5"/>
      <c r="AD17" s="5"/>
    </row>
    <row r="18" spans="1:30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3"/>
        <v>470.05</v>
      </c>
      <c r="H18" s="1">
        <f t="shared" si="2"/>
        <v>98.710499999999996</v>
      </c>
      <c r="I18" s="1">
        <f t="shared" si="4"/>
        <v>1.62872325</v>
      </c>
      <c r="J18" s="1">
        <f t="shared" si="5"/>
        <v>0.41434719480000004</v>
      </c>
      <c r="K18" s="1">
        <f t="shared" si="6"/>
        <v>1.2142131828749998</v>
      </c>
      <c r="M18" s="5"/>
      <c r="R18" s="5"/>
      <c r="S18" s="5"/>
      <c r="T18" s="5"/>
      <c r="U18" s="5"/>
      <c r="AD18" s="5"/>
    </row>
    <row r="19" spans="1:30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3"/>
        <v>944.84</v>
      </c>
      <c r="H19" s="1">
        <f t="shared" si="2"/>
        <v>198.41640000000001</v>
      </c>
      <c r="I19" s="1">
        <f t="shared" si="4"/>
        <v>3.2738706</v>
      </c>
      <c r="J19" s="1">
        <f t="shared" si="5"/>
        <v>0.83287268064000008</v>
      </c>
      <c r="K19" s="1">
        <f t="shared" si="6"/>
        <v>2.4406705323</v>
      </c>
      <c r="M19" s="5"/>
      <c r="R19" s="5"/>
      <c r="S19" s="5"/>
      <c r="T19" s="5"/>
      <c r="U19" s="5"/>
      <c r="AD19" s="5"/>
    </row>
    <row r="20" spans="1:30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3"/>
        <v>0</v>
      </c>
      <c r="H20" s="1">
        <f t="shared" si="2"/>
        <v>0</v>
      </c>
      <c r="I20" s="1">
        <f t="shared" si="4"/>
        <v>0</v>
      </c>
      <c r="J20" s="1">
        <f t="shared" si="5"/>
        <v>0</v>
      </c>
      <c r="K20" s="1">
        <f t="shared" si="6"/>
        <v>0</v>
      </c>
      <c r="M20" s="5"/>
      <c r="R20" s="5"/>
      <c r="S20" s="5"/>
      <c r="T20" s="5"/>
      <c r="U20" s="5"/>
      <c r="AD20" s="5"/>
    </row>
    <row r="21" spans="1:30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3"/>
        <v>0</v>
      </c>
      <c r="H21" s="1">
        <f t="shared" si="2"/>
        <v>0</v>
      </c>
      <c r="I21" s="1">
        <f t="shared" si="4"/>
        <v>0</v>
      </c>
      <c r="J21" s="1">
        <f t="shared" si="5"/>
        <v>0</v>
      </c>
      <c r="K21" s="1">
        <f t="shared" si="6"/>
        <v>0</v>
      </c>
      <c r="M21" s="5"/>
      <c r="R21" s="5"/>
      <c r="S21" s="5"/>
      <c r="T21" s="5"/>
      <c r="U21" s="5"/>
      <c r="AD21" s="5"/>
    </row>
    <row r="22" spans="1:30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3"/>
        <v>858.73</v>
      </c>
      <c r="H22" s="1">
        <f t="shared" si="2"/>
        <v>180.33330000000001</v>
      </c>
      <c r="I22" s="1">
        <f t="shared" si="4"/>
        <v>2.97549945</v>
      </c>
      <c r="J22" s="1">
        <f t="shared" si="5"/>
        <v>0.75696706008000003</v>
      </c>
      <c r="K22" s="1">
        <f t="shared" si="6"/>
        <v>2.218234839975</v>
      </c>
      <c r="M22" s="5"/>
      <c r="R22" s="5"/>
      <c r="S22" s="5"/>
      <c r="T22" s="5"/>
      <c r="U22" s="5"/>
      <c r="AD22" s="5"/>
    </row>
    <row r="23" spans="1:30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3"/>
        <v>525.35</v>
      </c>
      <c r="H23" s="1">
        <f t="shared" si="2"/>
        <v>110.3235</v>
      </c>
      <c r="I23" s="1">
        <f t="shared" si="4"/>
        <v>1.8203377499999998</v>
      </c>
      <c r="J23" s="1">
        <f t="shared" si="5"/>
        <v>0.46309392359999996</v>
      </c>
      <c r="K23" s="1">
        <f t="shared" si="6"/>
        <v>1.3570617926249997</v>
      </c>
      <c r="M23" s="5"/>
      <c r="R23" s="5"/>
      <c r="S23" s="5"/>
      <c r="T23" s="5"/>
      <c r="U23" s="5"/>
      <c r="AD23" s="5"/>
    </row>
    <row r="24" spans="1:30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3"/>
        <v>590.13</v>
      </c>
      <c r="H24" s="1">
        <f t="shared" si="2"/>
        <v>123.92729999999999</v>
      </c>
      <c r="I24" s="1">
        <f t="shared" si="4"/>
        <v>2.0448004499999999</v>
      </c>
      <c r="J24" s="1">
        <f t="shared" si="5"/>
        <v>0.52019723447999999</v>
      </c>
      <c r="K24" s="1">
        <f t="shared" si="6"/>
        <v>1.5243987354749997</v>
      </c>
      <c r="M24" s="5"/>
      <c r="R24" s="5"/>
      <c r="S24" s="5"/>
      <c r="T24" s="5"/>
      <c r="U24" s="5"/>
      <c r="AD24" s="5"/>
    </row>
    <row r="25" spans="1:30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3"/>
        <v>409.22</v>
      </c>
      <c r="H25" s="1">
        <f t="shared" si="2"/>
        <v>85.936199999999999</v>
      </c>
      <c r="I25" s="1">
        <f t="shared" si="4"/>
        <v>1.4179473</v>
      </c>
      <c r="J25" s="1">
        <f t="shared" si="5"/>
        <v>0.36072579312000003</v>
      </c>
      <c r="K25" s="1">
        <f t="shared" si="6"/>
        <v>1.05707971215</v>
      </c>
      <c r="M25" s="5"/>
      <c r="R25" s="5"/>
      <c r="S25" s="5"/>
      <c r="T25" s="5"/>
      <c r="U25" s="5"/>
      <c r="AD25" s="5"/>
    </row>
    <row r="26" spans="1:30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3"/>
        <v>209.35000000000002</v>
      </c>
      <c r="H26" s="1">
        <f t="shared" si="2"/>
        <v>43.963500000000003</v>
      </c>
      <c r="I26" s="1">
        <f t="shared" si="4"/>
        <v>0.72539774999999995</v>
      </c>
      <c r="J26" s="1">
        <f t="shared" si="5"/>
        <v>0.18454118759999999</v>
      </c>
      <c r="K26" s="1">
        <f t="shared" si="6"/>
        <v>0.54078402262499992</v>
      </c>
      <c r="M26" s="5"/>
      <c r="R26" s="5"/>
      <c r="S26" s="5"/>
      <c r="T26" s="5"/>
      <c r="U26" s="5"/>
      <c r="AD26" s="5"/>
    </row>
    <row r="27" spans="1:30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3"/>
        <v>65.570000000000007</v>
      </c>
      <c r="H27" s="1">
        <f t="shared" si="2"/>
        <v>13.7697</v>
      </c>
      <c r="I27" s="1">
        <f t="shared" si="4"/>
        <v>0.22720004999999999</v>
      </c>
      <c r="J27" s="1">
        <f t="shared" si="5"/>
        <v>5.7799692719999997E-2</v>
      </c>
      <c r="K27" s="1">
        <f t="shared" si="6"/>
        <v>0.16937763727499996</v>
      </c>
      <c r="M27" s="5"/>
      <c r="R27" s="5"/>
      <c r="S27" s="5"/>
      <c r="T27" s="5"/>
      <c r="U27" s="5"/>
      <c r="AD27" s="5"/>
    </row>
    <row r="28" spans="1:30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3"/>
        <v>470.05</v>
      </c>
      <c r="H28" s="1">
        <f t="shared" si="2"/>
        <v>98.710499999999996</v>
      </c>
      <c r="I28" s="1">
        <f t="shared" si="4"/>
        <v>1.62872325</v>
      </c>
      <c r="J28" s="1">
        <f t="shared" si="5"/>
        <v>0.41434719480000004</v>
      </c>
      <c r="K28" s="1">
        <f t="shared" si="6"/>
        <v>1.2142131828749998</v>
      </c>
      <c r="M28" s="5"/>
      <c r="R28" s="5"/>
      <c r="S28" s="5"/>
      <c r="T28" s="5"/>
      <c r="U28" s="5"/>
      <c r="AD28" s="5"/>
    </row>
    <row r="29" spans="1:30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3"/>
        <v>251.22</v>
      </c>
      <c r="H29" s="1">
        <f t="shared" si="2"/>
        <v>52.7562</v>
      </c>
      <c r="I29" s="1">
        <f t="shared" si="4"/>
        <v>0.8704772999999999</v>
      </c>
      <c r="J29" s="1">
        <f t="shared" si="5"/>
        <v>0.22144942511999999</v>
      </c>
      <c r="K29" s="1">
        <f t="shared" si="6"/>
        <v>0.6489408271499999</v>
      </c>
      <c r="M29" s="5"/>
      <c r="R29" s="5"/>
      <c r="S29" s="5"/>
      <c r="T29" s="5"/>
      <c r="U29" s="5"/>
      <c r="AD29" s="5"/>
    </row>
    <row r="30" spans="1:30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3"/>
        <v>142.20000000000002</v>
      </c>
      <c r="H30" s="1">
        <f t="shared" si="2"/>
        <v>29.862000000000002</v>
      </c>
      <c r="I30" s="1">
        <f t="shared" si="4"/>
        <v>0.49272300000000002</v>
      </c>
      <c r="J30" s="1">
        <f t="shared" si="5"/>
        <v>0.12534873120000001</v>
      </c>
      <c r="K30" s="1">
        <f t="shared" si="6"/>
        <v>0.3673249965</v>
      </c>
      <c r="M30" s="5"/>
      <c r="R30" s="5"/>
      <c r="S30" s="5"/>
      <c r="T30" s="5"/>
      <c r="U30" s="5"/>
      <c r="AD30" s="5"/>
    </row>
    <row r="31" spans="1:30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3"/>
        <v>402.90000000000003</v>
      </c>
      <c r="H31" s="1">
        <f t="shared" si="2"/>
        <v>84.609000000000009</v>
      </c>
      <c r="I31" s="1">
        <f t="shared" si="4"/>
        <v>1.3960485</v>
      </c>
      <c r="J31" s="1">
        <f t="shared" si="5"/>
        <v>0.3551547384</v>
      </c>
      <c r="K31" s="1">
        <f t="shared" si="6"/>
        <v>1.0407541567499998</v>
      </c>
      <c r="M31" s="5"/>
      <c r="R31" s="5"/>
      <c r="S31" s="5"/>
      <c r="T31" s="5"/>
      <c r="U31" s="5"/>
      <c r="AD31" s="5"/>
    </row>
    <row r="32" spans="1:30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3"/>
        <v>252.8</v>
      </c>
      <c r="H32" s="1">
        <f t="shared" si="2"/>
        <v>53.088000000000001</v>
      </c>
      <c r="I32" s="1">
        <f t="shared" si="4"/>
        <v>0.87595200000000006</v>
      </c>
      <c r="J32" s="1">
        <f t="shared" si="5"/>
        <v>0.22284218880000004</v>
      </c>
      <c r="K32" s="1">
        <f t="shared" si="6"/>
        <v>0.65302221599999999</v>
      </c>
      <c r="M32" s="5"/>
      <c r="R32" s="5"/>
      <c r="S32" s="5"/>
      <c r="T32" s="5"/>
      <c r="U32" s="5"/>
      <c r="AD32" s="5"/>
    </row>
    <row r="33" spans="1:30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3"/>
        <v>146.15</v>
      </c>
      <c r="H33" s="1">
        <f t="shared" si="2"/>
        <v>30.691500000000001</v>
      </c>
      <c r="I33" s="1">
        <f t="shared" si="4"/>
        <v>0.50640974999999999</v>
      </c>
      <c r="J33" s="1">
        <f t="shared" si="5"/>
        <v>0.1288306404</v>
      </c>
      <c r="K33" s="1">
        <f t="shared" si="6"/>
        <v>0.37752846862499995</v>
      </c>
      <c r="M33" s="5"/>
      <c r="R33" s="5"/>
      <c r="S33" s="5"/>
      <c r="T33" s="5"/>
      <c r="U33" s="5"/>
      <c r="AD33" s="5"/>
    </row>
    <row r="34" spans="1:30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3"/>
        <v>264.65000000000003</v>
      </c>
      <c r="H34" s="1">
        <f t="shared" si="2"/>
        <v>55.576500000000003</v>
      </c>
      <c r="I34" s="1">
        <f t="shared" si="4"/>
        <v>0.91701225000000008</v>
      </c>
      <c r="J34" s="1">
        <f t="shared" si="5"/>
        <v>0.23328791640000004</v>
      </c>
      <c r="K34" s="1">
        <f t="shared" si="6"/>
        <v>0.68363263237500005</v>
      </c>
      <c r="M34" s="5"/>
      <c r="R34" s="5"/>
      <c r="S34" s="5"/>
      <c r="T34" s="5"/>
      <c r="U34" s="5"/>
      <c r="AD34" s="5"/>
    </row>
    <row r="35" spans="1:30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3"/>
        <v>594.87</v>
      </c>
      <c r="H35" s="1">
        <f t="shared" si="2"/>
        <v>124.92269999999999</v>
      </c>
      <c r="I35" s="1">
        <f t="shared" si="4"/>
        <v>2.0612245499999999</v>
      </c>
      <c r="J35" s="1">
        <f t="shared" si="5"/>
        <v>0.52437552552</v>
      </c>
      <c r="K35" s="1">
        <f t="shared" si="6"/>
        <v>1.5366429020249999</v>
      </c>
      <c r="M35" s="5"/>
      <c r="R35" s="5"/>
      <c r="S35" s="5"/>
      <c r="T35" s="5"/>
      <c r="U35" s="5"/>
      <c r="AD35" s="5"/>
    </row>
    <row r="36" spans="1:30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3"/>
        <v>500.07000000000005</v>
      </c>
      <c r="H36" s="1">
        <f t="shared" si="2"/>
        <v>105.0147</v>
      </c>
      <c r="I36" s="1">
        <f t="shared" si="4"/>
        <v>1.73274255</v>
      </c>
      <c r="J36" s="1">
        <f t="shared" si="5"/>
        <v>0.44080970472000003</v>
      </c>
      <c r="K36" s="1">
        <f t="shared" si="6"/>
        <v>1.2917595710249998</v>
      </c>
      <c r="M36" s="5"/>
      <c r="R36" s="5"/>
      <c r="S36" s="5"/>
      <c r="T36" s="5"/>
      <c r="U36" s="5"/>
      <c r="AD36" s="5"/>
    </row>
    <row r="37" spans="1:30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3"/>
        <v>342.07</v>
      </c>
      <c r="H37" s="1">
        <f t="shared" si="2"/>
        <v>71.834699999999998</v>
      </c>
      <c r="I37" s="1">
        <f t="shared" si="4"/>
        <v>1.1852725499999999</v>
      </c>
      <c r="J37" s="1">
        <f t="shared" si="5"/>
        <v>0.30153333671999999</v>
      </c>
      <c r="K37" s="1">
        <f t="shared" si="6"/>
        <v>0.88362068602499988</v>
      </c>
      <c r="M37" s="5"/>
      <c r="R37" s="5"/>
      <c r="S37" s="5"/>
      <c r="T37" s="5"/>
      <c r="U37" s="5"/>
      <c r="AD37" s="5"/>
    </row>
    <row r="38" spans="1:30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3"/>
        <v>594.87</v>
      </c>
      <c r="H38" s="1">
        <f t="shared" si="2"/>
        <v>124.92269999999999</v>
      </c>
      <c r="I38" s="1">
        <f t="shared" si="4"/>
        <v>2.0612245499999999</v>
      </c>
      <c r="J38" s="1">
        <f t="shared" si="5"/>
        <v>0.52437552552</v>
      </c>
      <c r="K38" s="1">
        <f t="shared" si="6"/>
        <v>1.5366429020249999</v>
      </c>
      <c r="M38" s="5"/>
      <c r="R38" s="5"/>
      <c r="S38" s="5"/>
      <c r="T38" s="5"/>
      <c r="U38" s="5"/>
      <c r="AD38" s="5"/>
    </row>
    <row r="39" spans="1:30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3"/>
        <v>342.07</v>
      </c>
      <c r="H39" s="1">
        <f t="shared" si="2"/>
        <v>71.834699999999998</v>
      </c>
      <c r="I39" s="1">
        <f t="shared" si="4"/>
        <v>1.1852725499999999</v>
      </c>
      <c r="J39" s="1">
        <f t="shared" si="5"/>
        <v>0.30153333671999999</v>
      </c>
      <c r="K39" s="1">
        <f t="shared" si="6"/>
        <v>0.88362068602499988</v>
      </c>
      <c r="M39" s="5"/>
      <c r="R39" s="5"/>
      <c r="S39" s="5"/>
      <c r="T39" s="5"/>
      <c r="U39" s="5"/>
      <c r="AD39" s="5"/>
    </row>
    <row r="40" spans="1:30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3"/>
        <v>718.9</v>
      </c>
      <c r="H40" s="1">
        <f t="shared" si="2"/>
        <v>150.96899999999999</v>
      </c>
      <c r="I40" s="1">
        <f t="shared" si="4"/>
        <v>2.4909884999999998</v>
      </c>
      <c r="J40" s="1">
        <f t="shared" si="5"/>
        <v>0.63370747439999997</v>
      </c>
      <c r="K40" s="1">
        <f t="shared" si="6"/>
        <v>1.8570319267499997</v>
      </c>
      <c r="M40" s="5"/>
      <c r="R40" s="5"/>
      <c r="S40" s="5"/>
      <c r="T40" s="5"/>
      <c r="U40" s="5"/>
      <c r="AD40" s="5"/>
    </row>
    <row r="41" spans="1:30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3"/>
        <v>655.7</v>
      </c>
      <c r="H41" s="1">
        <f t="shared" si="2"/>
        <v>137.697</v>
      </c>
      <c r="I41" s="1">
        <f t="shared" si="4"/>
        <v>2.2720004999999999</v>
      </c>
      <c r="J41" s="1">
        <f t="shared" si="5"/>
        <v>0.57799692719999995</v>
      </c>
      <c r="K41" s="1">
        <f t="shared" si="6"/>
        <v>1.6937763727499997</v>
      </c>
      <c r="M41" s="5"/>
      <c r="R41" s="5"/>
      <c r="S41" s="5"/>
      <c r="T41" s="5"/>
      <c r="U41" s="5"/>
      <c r="AD41" s="5"/>
    </row>
    <row r="42" spans="1:30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3"/>
        <v>624.1</v>
      </c>
      <c r="H42" s="1">
        <f t="shared" si="2"/>
        <v>131.06100000000001</v>
      </c>
      <c r="I42" s="1">
        <f t="shared" si="4"/>
        <v>2.1625065000000001</v>
      </c>
      <c r="J42" s="1">
        <f t="shared" si="5"/>
        <v>0.55014165360000011</v>
      </c>
      <c r="K42" s="1">
        <f t="shared" si="6"/>
        <v>1.6121485957499999</v>
      </c>
      <c r="M42" s="5"/>
      <c r="R42" s="5"/>
      <c r="S42" s="5"/>
      <c r="T42" s="5"/>
      <c r="U42" s="5"/>
      <c r="AD42" s="5"/>
    </row>
    <row r="43" spans="1:30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3"/>
        <v>349.97</v>
      </c>
      <c r="H43" s="1">
        <f t="shared" si="2"/>
        <v>73.493700000000004</v>
      </c>
      <c r="I43" s="1">
        <f t="shared" si="4"/>
        <v>1.21264605</v>
      </c>
      <c r="J43" s="1">
        <f t="shared" si="5"/>
        <v>0.30849715512000003</v>
      </c>
      <c r="K43" s="1">
        <f t="shared" si="6"/>
        <v>0.90402763027499999</v>
      </c>
      <c r="M43" s="5"/>
      <c r="R43" s="5"/>
      <c r="S43" s="5"/>
      <c r="T43" s="5"/>
      <c r="U43" s="5"/>
      <c r="AD43" s="5"/>
    </row>
    <row r="45" spans="1:30" x14ac:dyDescent="0.2">
      <c r="R45" s="6"/>
    </row>
    <row r="46" spans="1:30" x14ac:dyDescent="0.2"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30" x14ac:dyDescent="0.2">
      <c r="H47"/>
      <c r="I47"/>
      <c r="J47"/>
      <c r="K47"/>
      <c r="L47"/>
      <c r="M47"/>
      <c r="N47"/>
      <c r="O47"/>
      <c r="P47"/>
      <c r="Q47"/>
      <c r="R47"/>
      <c r="S47"/>
      <c r="T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2026-01-29T15:03:26Z</dcterms:modified>
</cp:coreProperties>
</file>