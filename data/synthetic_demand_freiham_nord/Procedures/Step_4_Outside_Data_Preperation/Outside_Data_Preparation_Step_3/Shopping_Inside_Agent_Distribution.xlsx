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5/Data_From_Step_4/"/>
    </mc:Choice>
  </mc:AlternateContent>
  <xr:revisionPtr revIDLastSave="0" documentId="13_ncr:1_{806599FE-77C7-474A-A361-F32CA42719CE}" xr6:coauthVersionLast="47" xr6:coauthVersionMax="47" xr10:uidLastSave="{00000000-0000-0000-0000-000000000000}"/>
  <bookViews>
    <workbookView xWindow="0" yWindow="600" windowWidth="35840" windowHeight="20000" xr2:uid="{9D3B7F62-A62F-4147-9C41-619E3F048876}"/>
  </bookViews>
  <sheets>
    <sheet name="dens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K5" i="1"/>
  <c r="J5" i="1"/>
  <c r="G6" i="1" l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G5" i="1"/>
  <c r="H5" i="1" s="1"/>
  <c r="H43" i="1"/>
  <c r="H1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2" i="1"/>
  <c r="G3" i="1"/>
  <c r="H3" i="1" s="1"/>
  <c r="G4" i="1"/>
  <c r="H4" i="1" s="1"/>
  <c r="G2" i="1"/>
  <c r="H2" i="1" s="1"/>
  <c r="I11" i="1" l="1"/>
  <c r="I42" i="1"/>
  <c r="I9" i="1"/>
  <c r="I12" i="1"/>
  <c r="I15" i="1"/>
  <c r="I41" i="1"/>
  <c r="I40" i="1"/>
  <c r="I23" i="1"/>
  <c r="I38" i="1"/>
  <c r="I37" i="1"/>
  <c r="I31" i="1"/>
  <c r="I14" i="1"/>
  <c r="I43" i="1"/>
  <c r="I5" i="1"/>
  <c r="I27" i="1"/>
  <c r="I26" i="1"/>
  <c r="I24" i="1"/>
  <c r="I39" i="1"/>
  <c r="I22" i="1"/>
  <c r="I21" i="1"/>
  <c r="I17" i="1"/>
  <c r="I30" i="1"/>
  <c r="I29" i="1"/>
  <c r="I13" i="1"/>
  <c r="I28" i="1"/>
  <c r="I10" i="1"/>
  <c r="I25" i="1"/>
  <c r="I8" i="1"/>
  <c r="I7" i="1"/>
  <c r="I6" i="1"/>
  <c r="I36" i="1"/>
  <c r="I20" i="1"/>
  <c r="I35" i="1"/>
  <c r="I19" i="1"/>
  <c r="I34" i="1"/>
  <c r="I18" i="1"/>
  <c r="I33" i="1"/>
  <c r="I32" i="1"/>
  <c r="I16" i="1"/>
</calcChain>
</file>

<file path=xl/sharedStrings.xml><?xml version="1.0" encoding="utf-8"?>
<sst xmlns="http://schemas.openxmlformats.org/spreadsheetml/2006/main" count="95" uniqueCount="58">
  <si>
    <t>id</t>
  </si>
  <si>
    <t>name</t>
  </si>
  <si>
    <t>type</t>
  </si>
  <si>
    <t>apartments</t>
  </si>
  <si>
    <t>residents</t>
  </si>
  <si>
    <t>U</t>
  </si>
  <si>
    <t>Primary School</t>
  </si>
  <si>
    <t>V</t>
  </si>
  <si>
    <t>Optional</t>
  </si>
  <si>
    <t>W</t>
  </si>
  <si>
    <t>R</t>
  </si>
  <si>
    <t>Residential</t>
  </si>
  <si>
    <t>S</t>
  </si>
  <si>
    <t>residential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</si>
  <si>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</si>
  <si>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</si>
  <si>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</si>
  <si>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</si>
  <si>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</si>
  <si>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</si>
  <si>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</si>
  <si>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</si>
  <si>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</si>
  <si>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</si>
  <si>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</si>
  <si>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</si>
  <si>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</si>
  <si>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D</t>
  </si>
  <si>
    <t>middle school</t>
  </si>
  <si>
    <t>A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</si>
  <si>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</si>
  <si>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</si>
  <si>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</si>
  <si>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</si>
  <si>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</si>
  <si>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</si>
  <si>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</si>
  <si>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</si>
  <si>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</si>
  <si>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</si>
  <si>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</si>
  <si>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</si>
  <si>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</si>
  <si>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</si>
  <si>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</si>
  <si>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</si>
  <si>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</si>
  <si>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</si>
  <si>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</si>
  <si>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</si>
  <si>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</si>
  <si>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</si>
  <si>
    <t>mobile persons</t>
  </si>
  <si>
    <t>stay home persons</t>
  </si>
  <si>
    <t>mobile person by PT</t>
  </si>
  <si>
    <t>shopping_inside</t>
  </si>
  <si>
    <t>shopping_at_local_center</t>
  </si>
  <si>
    <t>shopping_at_district_center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</si>
</sst>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justify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center" vertical="justify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8" fillId="0" borderId="0" xfId="0" applyFont="1" applyAlignment="1">
      <alignment horizontal="justify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5256-8139-CD42-A7F7-9D04482001A5}">
  <dimension ref="A1:Z47"/>
  <sheetViews>
    <sheetView tabSelected="1" zoomScale="75" workbookViewId="0">
      <selection activeCell="M6" sqref="M6"/>
    </sheetView>
  </sheetViews>
  <sheetFormatPr baseColWidth="10" defaultRowHeight="16" x14ac:dyDescent="0.2"/>
  <cols>
    <col min="1" max="6" width="10.83203125" style="1"/>
    <col min="7" max="7" width="14.83203125" style="1" customWidth="1"/>
    <col min="8" max="8" width="18.1640625" style="1" customWidth="1"/>
    <col min="9" max="9" width="16" style="1" customWidth="1"/>
    <col min="10" max="10" width="15.1640625" style="1" bestFit="1" customWidth="1"/>
    <col min="11" max="11" width="13.6640625" style="1" customWidth="1"/>
    <col min="12" max="12" width="14.1640625" style="1" bestFit="1" customWidth="1"/>
    <col min="13" max="13" width="12.33203125" style="1" bestFit="1" customWidth="1"/>
    <col min="14" max="14" width="13.5" style="1" bestFit="1" customWidth="1"/>
    <col min="15" max="15" width="20.1640625" style="1" bestFit="1" customWidth="1"/>
    <col min="16" max="16" width="21.5" style="1" bestFit="1" customWidth="1"/>
    <col min="17" max="17" width="16" style="1" customWidth="1"/>
    <col min="18" max="18" width="15.1640625" style="1" bestFit="1" customWidth="1"/>
    <col min="19" max="19" width="14" style="1" bestFit="1" customWidth="1"/>
    <col min="20" max="20" width="15.1640625" style="1" bestFit="1" customWidth="1"/>
    <col min="21" max="21" width="20.1640625" style="1" bestFit="1" customWidth="1"/>
    <col min="22" max="22" width="21.5" style="1" bestFit="1" customWidth="1"/>
    <col min="23" max="23" width="13" style="1" bestFit="1" customWidth="1"/>
    <col min="24" max="24" width="14.1640625" style="1" bestFit="1" customWidth="1"/>
    <col min="25" max="25" width="12.33203125" style="1" bestFit="1" customWidth="1"/>
    <col min="26" max="26" width="13.5" style="1" bestFit="1" customWidth="1"/>
    <col min="27" max="16384" width="10.83203125" style="1"/>
  </cols>
  <sheetData>
    <row r="1" spans="1:26" ht="3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53</v>
      </c>
      <c r="G1" s="2" t="s">
        <v>52</v>
      </c>
      <c r="H1" s="3" t="s">
        <v>54</v>
      </c>
      <c r="I1" s="4" t="s">
        <v>55</v>
      </c>
      <c r="J1" s="2" t="s">
        <v>56</v>
      </c>
      <c r="K1" s="2" t="s">
        <v>57</v>
      </c>
      <c r="L1" s="2"/>
      <c r="M1" s="2"/>
      <c r="N1" s="4"/>
      <c r="O1" s="2"/>
      <c r="P1" s="2"/>
      <c r="Q1" s="4"/>
      <c r="R1" s="2"/>
      <c r="S1" s="2"/>
      <c r="T1" s="2"/>
      <c r="U1" s="2"/>
      <c r="V1" s="2"/>
      <c r="W1" s="2"/>
      <c r="X1" s="2"/>
      <c r="Y1" s="2"/>
      <c r="Z1" s="4"/>
    </row>
    <row r="2" spans="1:26" ht="34" x14ac:dyDescent="0.2">
      <c r="A2" s="1">
        <v>1</v>
      </c>
      <c r="B2" s="1" t="s">
        <v>5</v>
      </c>
      <c r="C2" s="1" t="s">
        <v>6</v>
      </c>
      <c r="D2" s="1">
        <v>0</v>
      </c>
      <c r="E2" s="1">
        <v>0</v>
      </c>
      <c r="F2" s="1">
        <f t="shared" ref="F2:F43" si="0">E2*0.21</f>
        <v>0</v>
      </c>
      <c r="G2" s="1">
        <f t="shared" ref="G2:G4" si="1">D2*0.79</f>
        <v>0</v>
      </c>
      <c r="H2" s="1">
        <f>G2*0.21</f>
        <v>0</v>
      </c>
      <c r="I2" s="5"/>
      <c r="N2" s="5"/>
      <c r="Q2" s="5"/>
      <c r="Z2" s="5"/>
    </row>
    <row r="3" spans="1:26" ht="17" x14ac:dyDescent="0.2">
      <c r="A3" s="1">
        <v>2</v>
      </c>
      <c r="B3" s="1" t="s">
        <v>7</v>
      </c>
      <c r="C3" s="1" t="s">
        <v>8</v>
      </c>
      <c r="D3" s="1">
        <v>0</v>
      </c>
      <c r="E3" s="1">
        <v>0</v>
      </c>
      <c r="F3" s="1">
        <f t="shared" si="0"/>
        <v>0</v>
      </c>
      <c r="G3" s="1">
        <f t="shared" si="1"/>
        <v>0</v>
      </c>
      <c r="H3" s="1">
        <f t="shared" ref="H3:H43" si="2">G3*0.21</f>
        <v>0</v>
      </c>
      <c r="I3" s="5"/>
      <c r="N3" s="5"/>
      <c r="Q3" s="5"/>
      <c r="Z3" s="5"/>
    </row>
    <row r="4" spans="1:26" ht="17" x14ac:dyDescent="0.2">
      <c r="A4" s="1">
        <v>3</v>
      </c>
      <c r="B4" s="1" t="s">
        <v>9</v>
      </c>
      <c r="C4" s="1" t="s">
        <v>8</v>
      </c>
      <c r="D4" s="1">
        <v>0</v>
      </c>
      <c r="E4" s="1">
        <v>0</v>
      </c>
      <c r="F4" s="1">
        <f t="shared" si="0"/>
        <v>0</v>
      </c>
      <c r="G4" s="1">
        <f t="shared" si="1"/>
        <v>0</v>
      </c>
      <c r="H4" s="1">
        <f t="shared" si="2"/>
        <v>0</v>
      </c>
      <c r="I4" s="5"/>
      <c r="N4" s="5"/>
      <c r="Q4" s="5"/>
      <c r="Z4" s="5"/>
    </row>
    <row r="5" spans="1:26" ht="17" x14ac:dyDescent="0.2">
      <c r="A5" s="1">
        <v>4</v>
      </c>
      <c r="B5" s="1" t="s">
        <v>10</v>
      </c>
      <c r="C5" s="1" t="s">
        <v>11</v>
      </c>
      <c r="D5" s="1">
        <v>357</v>
      </c>
      <c r="E5" s="1">
        <v>929</v>
      </c>
      <c r="F5" s="1">
        <f t="shared" si="0"/>
        <v>195.09</v>
      </c>
      <c r="G5" s="1">
        <f>E5*0.79</f>
        <v>733.91000000000008</v>
      </c>
      <c r="H5" s="1">
        <f t="shared" si="2"/>
        <v>154.12110000000001</v>
      </c>
      <c r="I5" s="5">
        <f>$H5*13%*65%</f>
        <v>13.023232950000002</v>
      </c>
      <c r="J5" s="1">
        <f>I5*25.44%</f>
        <v>3.313110462480001</v>
      </c>
      <c r="K5" s="1">
        <f>I5*74.55%</f>
        <v>9.7088201642250009</v>
      </c>
      <c r="N5" s="5"/>
      <c r="O5" s="5"/>
      <c r="P5" s="5"/>
      <c r="Q5" s="5"/>
      <c r="Z5" s="5"/>
    </row>
    <row r="6" spans="1:26" ht="17" x14ac:dyDescent="0.2">
      <c r="A6" s="1">
        <v>5</v>
      </c>
      <c r="B6" s="1" t="s">
        <v>12</v>
      </c>
      <c r="C6" s="1" t="s">
        <v>13</v>
      </c>
      <c r="D6" s="1">
        <v>263</v>
      </c>
      <c r="E6" s="1">
        <v>685</v>
      </c>
      <c r="F6" s="1">
        <f t="shared" si="0"/>
        <v>143.85</v>
      </c>
      <c r="G6" s="1">
        <f t="shared" ref="G6:G43" si="3">E6*0.79</f>
        <v>541.15</v>
      </c>
      <c r="H6" s="1">
        <f t="shared" si="2"/>
        <v>113.64149999999999</v>
      </c>
      <c r="I6" s="5">
        <f t="shared" ref="I6:I43" si="4">$H6*13%*65%</f>
        <v>9.6027067499999994</v>
      </c>
      <c r="J6" s="1">
        <f t="shared" ref="J6:J43" si="5">I6*25.44%</f>
        <v>2.4429285971999999</v>
      </c>
      <c r="K6" s="1">
        <f t="shared" ref="K6:K43" si="6">I6*74.55%</f>
        <v>7.1588178821249988</v>
      </c>
      <c r="N6" s="5"/>
      <c r="O6" s="5"/>
      <c r="P6" s="5"/>
      <c r="Q6" s="5"/>
      <c r="Z6" s="5"/>
    </row>
    <row r="7" spans="1:26" ht="17" x14ac:dyDescent="0.2">
      <c r="A7" s="1">
        <v>6</v>
      </c>
      <c r="B7" s="1" t="s">
        <v>14</v>
      </c>
      <c r="C7" s="1" t="s">
        <v>13</v>
      </c>
      <c r="D7" s="1">
        <v>273</v>
      </c>
      <c r="E7" s="1">
        <v>709</v>
      </c>
      <c r="F7" s="1">
        <f t="shared" si="0"/>
        <v>148.88999999999999</v>
      </c>
      <c r="G7" s="1">
        <f t="shared" si="3"/>
        <v>560.11</v>
      </c>
      <c r="H7" s="1">
        <f t="shared" si="2"/>
        <v>117.62309999999999</v>
      </c>
      <c r="I7" s="5">
        <f t="shared" si="4"/>
        <v>9.9391519499999994</v>
      </c>
      <c r="J7" s="1">
        <f t="shared" si="5"/>
        <v>2.5285202560800002</v>
      </c>
      <c r="K7" s="1">
        <f t="shared" si="6"/>
        <v>7.4096377787249992</v>
      </c>
      <c r="N7" s="5"/>
      <c r="O7" s="5"/>
      <c r="P7" s="5"/>
      <c r="Q7" s="5"/>
      <c r="Z7" s="5"/>
    </row>
    <row r="8" spans="1:26" ht="17" x14ac:dyDescent="0.2">
      <c r="A8" s="1">
        <v>7</v>
      </c>
      <c r="B8" s="1" t="s">
        <v>15</v>
      </c>
      <c r="C8" s="1" t="s">
        <v>13</v>
      </c>
      <c r="D8" s="1">
        <v>413</v>
      </c>
      <c r="E8" s="1">
        <v>1075</v>
      </c>
      <c r="F8" s="1">
        <f t="shared" si="0"/>
        <v>225.75</v>
      </c>
      <c r="G8" s="1">
        <f t="shared" si="3"/>
        <v>849.25</v>
      </c>
      <c r="H8" s="1">
        <f t="shared" si="2"/>
        <v>178.3425</v>
      </c>
      <c r="I8" s="5">
        <f t="shared" si="4"/>
        <v>15.069941250000001</v>
      </c>
      <c r="J8" s="1">
        <f t="shared" si="5"/>
        <v>3.8337930540000005</v>
      </c>
      <c r="K8" s="1">
        <f t="shared" si="6"/>
        <v>11.234641201875</v>
      </c>
      <c r="N8" s="5"/>
      <c r="O8" s="5"/>
      <c r="P8" s="5"/>
      <c r="Q8" s="5"/>
      <c r="Z8" s="5"/>
    </row>
    <row r="9" spans="1:26" ht="17" x14ac:dyDescent="0.2">
      <c r="A9" s="1">
        <v>8</v>
      </c>
      <c r="B9" s="1" t="s">
        <v>16</v>
      </c>
      <c r="C9" s="1" t="s">
        <v>13</v>
      </c>
      <c r="D9" s="1">
        <v>341</v>
      </c>
      <c r="E9" s="1">
        <v>885</v>
      </c>
      <c r="F9" s="1">
        <f t="shared" si="0"/>
        <v>185.85</v>
      </c>
      <c r="G9" s="1">
        <f t="shared" si="3"/>
        <v>699.15</v>
      </c>
      <c r="H9" s="1">
        <f t="shared" si="2"/>
        <v>146.82149999999999</v>
      </c>
      <c r="I9" s="5">
        <f t="shared" si="4"/>
        <v>12.40641675</v>
      </c>
      <c r="J9" s="1">
        <f t="shared" si="5"/>
        <v>3.1561924212000001</v>
      </c>
      <c r="K9" s="1">
        <f t="shared" si="6"/>
        <v>9.2489836871249995</v>
      </c>
      <c r="N9" s="5"/>
      <c r="O9" s="5"/>
      <c r="P9" s="5"/>
      <c r="Q9" s="5"/>
      <c r="Z9" s="5"/>
    </row>
    <row r="10" spans="1:26" ht="17" x14ac:dyDescent="0.2">
      <c r="A10" s="1">
        <v>9</v>
      </c>
      <c r="B10" s="1" t="s">
        <v>17</v>
      </c>
      <c r="C10" s="1" t="s">
        <v>13</v>
      </c>
      <c r="D10" s="1">
        <v>124</v>
      </c>
      <c r="E10" s="1">
        <v>323</v>
      </c>
      <c r="F10" s="1">
        <f t="shared" si="0"/>
        <v>67.83</v>
      </c>
      <c r="G10" s="1">
        <f t="shared" si="3"/>
        <v>255.17000000000002</v>
      </c>
      <c r="H10" s="1">
        <f t="shared" si="2"/>
        <v>53.585700000000003</v>
      </c>
      <c r="I10" s="5">
        <f t="shared" si="4"/>
        <v>4.5279916500000006</v>
      </c>
      <c r="J10" s="1">
        <f t="shared" si="5"/>
        <v>1.1519210757600002</v>
      </c>
      <c r="K10" s="1">
        <f t="shared" si="6"/>
        <v>3.3756177750750003</v>
      </c>
      <c r="N10" s="5"/>
      <c r="O10" s="5"/>
      <c r="P10" s="5"/>
      <c r="Q10" s="5"/>
      <c r="Z10" s="5"/>
    </row>
    <row r="11" spans="1:26" ht="17" x14ac:dyDescent="0.2">
      <c r="A11" s="1">
        <v>10</v>
      </c>
      <c r="B11" s="1" t="s">
        <v>18</v>
      </c>
      <c r="C11" s="1" t="s">
        <v>13</v>
      </c>
      <c r="D11" s="1">
        <v>395</v>
      </c>
      <c r="E11" s="1">
        <v>1027</v>
      </c>
      <c r="F11" s="1">
        <f t="shared" si="0"/>
        <v>215.67</v>
      </c>
      <c r="G11" s="1">
        <f t="shared" si="3"/>
        <v>811.33</v>
      </c>
      <c r="H11" s="1">
        <f t="shared" si="2"/>
        <v>170.3793</v>
      </c>
      <c r="I11" s="5">
        <f t="shared" si="4"/>
        <v>14.397050850000001</v>
      </c>
      <c r="J11" s="1">
        <f t="shared" si="5"/>
        <v>3.6626097362400003</v>
      </c>
      <c r="K11" s="1">
        <f t="shared" si="6"/>
        <v>10.733001408674999</v>
      </c>
      <c r="N11" s="5"/>
      <c r="O11" s="5"/>
      <c r="P11" s="5"/>
      <c r="Q11" s="5"/>
      <c r="Z11" s="5"/>
    </row>
    <row r="12" spans="1:26" ht="17" x14ac:dyDescent="0.2">
      <c r="A12" s="1">
        <v>11</v>
      </c>
      <c r="B12" s="1" t="s">
        <v>19</v>
      </c>
      <c r="C12" s="1" t="s">
        <v>13</v>
      </c>
      <c r="D12" s="1">
        <v>291</v>
      </c>
      <c r="E12" s="1">
        <v>756</v>
      </c>
      <c r="F12" s="1">
        <f t="shared" si="0"/>
        <v>158.76</v>
      </c>
      <c r="G12" s="1">
        <f t="shared" si="3"/>
        <v>597.24</v>
      </c>
      <c r="H12" s="1">
        <f t="shared" si="2"/>
        <v>125.4204</v>
      </c>
      <c r="I12" s="5">
        <f t="shared" si="4"/>
        <v>10.598023800000002</v>
      </c>
      <c r="J12" s="1">
        <f t="shared" si="5"/>
        <v>2.6961372547200004</v>
      </c>
      <c r="K12" s="1">
        <f t="shared" si="6"/>
        <v>7.9008267429000005</v>
      </c>
      <c r="N12" s="5"/>
      <c r="O12" s="5"/>
      <c r="P12" s="5"/>
      <c r="Q12" s="5"/>
      <c r="Z12" s="5"/>
    </row>
    <row r="13" spans="1:26" ht="17" x14ac:dyDescent="0.2">
      <c r="A13" s="1">
        <v>12</v>
      </c>
      <c r="B13" s="1" t="s">
        <v>20</v>
      </c>
      <c r="C13" s="1" t="s">
        <v>13</v>
      </c>
      <c r="D13" s="1">
        <v>327</v>
      </c>
      <c r="E13" s="1">
        <v>850</v>
      </c>
      <c r="F13" s="1">
        <f t="shared" si="0"/>
        <v>178.5</v>
      </c>
      <c r="G13" s="1">
        <f t="shared" si="3"/>
        <v>671.5</v>
      </c>
      <c r="H13" s="1">
        <f t="shared" si="2"/>
        <v>141.01499999999999</v>
      </c>
      <c r="I13" s="5">
        <f t="shared" si="4"/>
        <v>11.915767499999999</v>
      </c>
      <c r="J13" s="1">
        <f t="shared" si="5"/>
        <v>3.031371252</v>
      </c>
      <c r="K13" s="1">
        <f t="shared" si="6"/>
        <v>8.8832046712499988</v>
      </c>
      <c r="N13" s="5"/>
      <c r="O13" s="5"/>
      <c r="P13" s="5"/>
      <c r="Q13" s="5"/>
      <c r="Z13" s="5"/>
    </row>
    <row r="14" spans="1:26" ht="17" x14ac:dyDescent="0.2">
      <c r="A14" s="1">
        <v>13</v>
      </c>
      <c r="B14" s="1" t="s">
        <v>21</v>
      </c>
      <c r="C14" s="1" t="s">
        <v>13</v>
      </c>
      <c r="D14" s="1">
        <v>423</v>
      </c>
      <c r="E14" s="1">
        <v>1100</v>
      </c>
      <c r="F14" s="1">
        <f t="shared" si="0"/>
        <v>231</v>
      </c>
      <c r="G14" s="1">
        <f t="shared" si="3"/>
        <v>869</v>
      </c>
      <c r="H14" s="1">
        <f t="shared" si="2"/>
        <v>182.48999999999998</v>
      </c>
      <c r="I14" s="5">
        <f t="shared" si="4"/>
        <v>15.420404999999999</v>
      </c>
      <c r="J14" s="1">
        <f t="shared" si="5"/>
        <v>3.9229510319999998</v>
      </c>
      <c r="K14" s="1">
        <f t="shared" si="6"/>
        <v>11.495911927499998</v>
      </c>
      <c r="N14" s="5"/>
      <c r="O14" s="5"/>
      <c r="P14" s="5"/>
      <c r="Q14" s="5"/>
      <c r="Z14" s="5"/>
    </row>
    <row r="15" spans="1:26" ht="17" x14ac:dyDescent="0.2">
      <c r="A15" s="1">
        <v>14</v>
      </c>
      <c r="B15" s="1" t="s">
        <v>22</v>
      </c>
      <c r="C15" s="1" t="s">
        <v>13</v>
      </c>
      <c r="D15" s="1">
        <v>256</v>
      </c>
      <c r="E15" s="1">
        <v>667</v>
      </c>
      <c r="F15" s="1">
        <f t="shared" si="0"/>
        <v>140.07</v>
      </c>
      <c r="G15" s="1">
        <f t="shared" si="3"/>
        <v>526.93000000000006</v>
      </c>
      <c r="H15" s="1">
        <f t="shared" si="2"/>
        <v>110.65530000000001</v>
      </c>
      <c r="I15" s="5">
        <f t="shared" si="4"/>
        <v>9.3503728500000012</v>
      </c>
      <c r="J15" s="1">
        <f t="shared" si="5"/>
        <v>2.3787348530400005</v>
      </c>
      <c r="K15" s="1">
        <f t="shared" si="6"/>
        <v>6.9707029596750001</v>
      </c>
      <c r="N15" s="5"/>
      <c r="O15" s="5"/>
      <c r="P15" s="5"/>
      <c r="Q15" s="5"/>
      <c r="Z15" s="5"/>
    </row>
    <row r="16" spans="1:26" ht="17" x14ac:dyDescent="0.2">
      <c r="A16" s="1">
        <v>14</v>
      </c>
      <c r="B16" s="1" t="s">
        <v>23</v>
      </c>
      <c r="C16" s="1" t="s">
        <v>13</v>
      </c>
      <c r="D16" s="1">
        <v>504</v>
      </c>
      <c r="E16" s="1">
        <v>1310</v>
      </c>
      <c r="F16" s="1">
        <f t="shared" si="0"/>
        <v>275.09999999999997</v>
      </c>
      <c r="G16" s="1">
        <f t="shared" si="3"/>
        <v>1034.9000000000001</v>
      </c>
      <c r="H16" s="1">
        <f t="shared" si="2"/>
        <v>217.32900000000001</v>
      </c>
      <c r="I16" s="5">
        <f t="shared" si="4"/>
        <v>18.364300500000002</v>
      </c>
      <c r="J16" s="1">
        <f t="shared" si="5"/>
        <v>4.6718780472000008</v>
      </c>
      <c r="K16" s="1">
        <f t="shared" si="6"/>
        <v>13.690586022750001</v>
      </c>
      <c r="N16" s="5"/>
      <c r="O16" s="5"/>
      <c r="P16" s="5"/>
      <c r="Q16" s="5"/>
      <c r="Z16" s="5"/>
    </row>
    <row r="17" spans="1:26" ht="17" x14ac:dyDescent="0.2">
      <c r="A17" s="1">
        <v>15</v>
      </c>
      <c r="B17" s="1" t="s">
        <v>24</v>
      </c>
      <c r="C17" s="1" t="s">
        <v>13</v>
      </c>
      <c r="D17" s="1">
        <v>536</v>
      </c>
      <c r="E17" s="1">
        <v>1392</v>
      </c>
      <c r="F17" s="1">
        <f t="shared" si="0"/>
        <v>292.32</v>
      </c>
      <c r="G17" s="1">
        <f t="shared" si="3"/>
        <v>1099.68</v>
      </c>
      <c r="H17" s="1">
        <f t="shared" si="2"/>
        <v>230.93280000000001</v>
      </c>
      <c r="I17" s="5">
        <f t="shared" si="4"/>
        <v>19.513821600000004</v>
      </c>
      <c r="J17" s="1">
        <f t="shared" si="5"/>
        <v>4.9643162150400011</v>
      </c>
      <c r="K17" s="1">
        <f t="shared" si="6"/>
        <v>14.547554002800002</v>
      </c>
      <c r="N17" s="5"/>
      <c r="O17" s="5"/>
      <c r="P17" s="5"/>
      <c r="Q17" s="5"/>
      <c r="Z17" s="5"/>
    </row>
    <row r="18" spans="1:26" ht="17" x14ac:dyDescent="0.2">
      <c r="A18" s="1">
        <v>15</v>
      </c>
      <c r="B18" s="1" t="s">
        <v>25</v>
      </c>
      <c r="C18" s="1" t="s">
        <v>13</v>
      </c>
      <c r="D18" s="1">
        <v>229</v>
      </c>
      <c r="E18" s="1">
        <v>595</v>
      </c>
      <c r="F18" s="1">
        <f t="shared" si="0"/>
        <v>124.94999999999999</v>
      </c>
      <c r="G18" s="1">
        <f t="shared" si="3"/>
        <v>470.05</v>
      </c>
      <c r="H18" s="1">
        <f t="shared" si="2"/>
        <v>98.710499999999996</v>
      </c>
      <c r="I18" s="5">
        <f t="shared" si="4"/>
        <v>8.3410372499999994</v>
      </c>
      <c r="J18" s="1">
        <f t="shared" si="5"/>
        <v>2.1219598764000001</v>
      </c>
      <c r="K18" s="1">
        <f t="shared" si="6"/>
        <v>6.218243269874999</v>
      </c>
      <c r="N18" s="5"/>
      <c r="O18" s="5"/>
      <c r="P18" s="5"/>
      <c r="Q18" s="5"/>
      <c r="Z18" s="5"/>
    </row>
    <row r="19" spans="1:26" ht="17" x14ac:dyDescent="0.2">
      <c r="A19" s="1">
        <v>16</v>
      </c>
      <c r="B19" s="1" t="s">
        <v>26</v>
      </c>
      <c r="C19" s="1" t="s">
        <v>13</v>
      </c>
      <c r="D19" s="1">
        <v>460</v>
      </c>
      <c r="E19" s="1">
        <v>1196</v>
      </c>
      <c r="F19" s="1">
        <f t="shared" si="0"/>
        <v>251.16</v>
      </c>
      <c r="G19" s="1">
        <f t="shared" si="3"/>
        <v>944.84</v>
      </c>
      <c r="H19" s="1">
        <f t="shared" si="2"/>
        <v>198.41640000000001</v>
      </c>
      <c r="I19" s="5">
        <f t="shared" si="4"/>
        <v>16.766185800000002</v>
      </c>
      <c r="J19" s="1">
        <f t="shared" si="5"/>
        <v>4.2653176675200006</v>
      </c>
      <c r="K19" s="1">
        <f t="shared" si="6"/>
        <v>12.499191513900001</v>
      </c>
      <c r="N19" s="5"/>
      <c r="O19" s="5"/>
      <c r="P19" s="5"/>
      <c r="Q19" s="5"/>
      <c r="Z19" s="5"/>
    </row>
    <row r="20" spans="1:26" ht="34" x14ac:dyDescent="0.2">
      <c r="A20" s="1">
        <v>17</v>
      </c>
      <c r="B20" s="1" t="s">
        <v>27</v>
      </c>
      <c r="C20" s="1" t="s">
        <v>28</v>
      </c>
      <c r="D20" s="1">
        <v>0</v>
      </c>
      <c r="E20" s="1">
        <v>0</v>
      </c>
      <c r="F20" s="1">
        <f t="shared" si="0"/>
        <v>0</v>
      </c>
      <c r="G20" s="1">
        <f t="shared" si="3"/>
        <v>0</v>
      </c>
      <c r="H20" s="1">
        <f t="shared" si="2"/>
        <v>0</v>
      </c>
      <c r="I20" s="5">
        <f t="shared" si="4"/>
        <v>0</v>
      </c>
      <c r="J20" s="1">
        <f t="shared" si="5"/>
        <v>0</v>
      </c>
      <c r="K20" s="1">
        <f t="shared" si="6"/>
        <v>0</v>
      </c>
      <c r="N20" s="5"/>
      <c r="O20" s="5"/>
      <c r="P20" s="5"/>
      <c r="Q20" s="5"/>
      <c r="Z20" s="5"/>
    </row>
    <row r="21" spans="1:26" ht="34" x14ac:dyDescent="0.2">
      <c r="A21" s="1">
        <v>18</v>
      </c>
      <c r="B21" s="1" t="s">
        <v>29</v>
      </c>
      <c r="C21" s="1" t="s">
        <v>28</v>
      </c>
      <c r="D21" s="1">
        <v>0</v>
      </c>
      <c r="E21" s="1">
        <v>0</v>
      </c>
      <c r="F21" s="1">
        <f t="shared" si="0"/>
        <v>0</v>
      </c>
      <c r="G21" s="1">
        <f t="shared" si="3"/>
        <v>0</v>
      </c>
      <c r="H21" s="1">
        <f t="shared" si="2"/>
        <v>0</v>
      </c>
      <c r="I21" s="5">
        <f t="shared" si="4"/>
        <v>0</v>
      </c>
      <c r="J21" s="1">
        <f t="shared" si="5"/>
        <v>0</v>
      </c>
      <c r="K21" s="1">
        <f t="shared" si="6"/>
        <v>0</v>
      </c>
      <c r="N21" s="5"/>
      <c r="O21" s="5"/>
      <c r="P21" s="5"/>
      <c r="Q21" s="5"/>
      <c r="Z21" s="5"/>
    </row>
    <row r="22" spans="1:26" ht="17" x14ac:dyDescent="0.2">
      <c r="A22" s="1">
        <v>19</v>
      </c>
      <c r="B22" s="1" t="s">
        <v>30</v>
      </c>
      <c r="C22" s="1" t="s">
        <v>13</v>
      </c>
      <c r="D22" s="1">
        <v>418</v>
      </c>
      <c r="E22" s="1">
        <v>1087</v>
      </c>
      <c r="F22" s="1">
        <f t="shared" si="0"/>
        <v>228.26999999999998</v>
      </c>
      <c r="G22" s="1">
        <f t="shared" si="3"/>
        <v>858.73</v>
      </c>
      <c r="H22" s="1">
        <f t="shared" si="2"/>
        <v>180.33330000000001</v>
      </c>
      <c r="I22" s="5">
        <f t="shared" si="4"/>
        <v>15.238163850000001</v>
      </c>
      <c r="J22" s="1">
        <f t="shared" si="5"/>
        <v>3.8765888834400006</v>
      </c>
      <c r="K22" s="1">
        <f t="shared" si="6"/>
        <v>11.360051150175</v>
      </c>
      <c r="N22" s="5"/>
      <c r="O22" s="5"/>
      <c r="P22" s="5"/>
      <c r="Q22" s="5"/>
      <c r="Z22" s="5"/>
    </row>
    <row r="23" spans="1:26" ht="17" x14ac:dyDescent="0.2">
      <c r="A23" s="1">
        <v>20</v>
      </c>
      <c r="B23" s="1" t="s">
        <v>31</v>
      </c>
      <c r="C23" s="1" t="s">
        <v>13</v>
      </c>
      <c r="D23" s="1">
        <v>256</v>
      </c>
      <c r="E23" s="1">
        <v>665</v>
      </c>
      <c r="F23" s="1">
        <f t="shared" si="0"/>
        <v>139.65</v>
      </c>
      <c r="G23" s="1">
        <f t="shared" si="3"/>
        <v>525.35</v>
      </c>
      <c r="H23" s="1">
        <f t="shared" si="2"/>
        <v>110.3235</v>
      </c>
      <c r="I23" s="5">
        <f t="shared" si="4"/>
        <v>9.3223357500000006</v>
      </c>
      <c r="J23" s="1">
        <f t="shared" si="5"/>
        <v>2.3716022148000002</v>
      </c>
      <c r="K23" s="1">
        <f t="shared" si="6"/>
        <v>6.9498013016249995</v>
      </c>
      <c r="N23" s="5"/>
      <c r="O23" s="5"/>
      <c r="P23" s="5"/>
      <c r="Q23" s="5"/>
      <c r="Z23" s="5"/>
    </row>
    <row r="24" spans="1:26" ht="17" x14ac:dyDescent="0.2">
      <c r="A24" s="1">
        <v>21</v>
      </c>
      <c r="B24" s="1" t="s">
        <v>32</v>
      </c>
      <c r="C24" s="1" t="s">
        <v>13</v>
      </c>
      <c r="D24" s="1">
        <v>287</v>
      </c>
      <c r="E24" s="1">
        <v>747</v>
      </c>
      <c r="F24" s="1">
        <f t="shared" si="0"/>
        <v>156.87</v>
      </c>
      <c r="G24" s="1">
        <f t="shared" si="3"/>
        <v>590.13</v>
      </c>
      <c r="H24" s="1">
        <f t="shared" si="2"/>
        <v>123.92729999999999</v>
      </c>
      <c r="I24" s="5">
        <f t="shared" si="4"/>
        <v>10.47185685</v>
      </c>
      <c r="J24" s="1">
        <f t="shared" si="5"/>
        <v>2.6640403826400001</v>
      </c>
      <c r="K24" s="1">
        <f t="shared" si="6"/>
        <v>7.806769281674999</v>
      </c>
      <c r="N24" s="5"/>
      <c r="O24" s="5"/>
      <c r="P24" s="5"/>
      <c r="Q24" s="5"/>
      <c r="Z24" s="5"/>
    </row>
    <row r="25" spans="1:26" ht="17" x14ac:dyDescent="0.2">
      <c r="A25" s="1">
        <v>199</v>
      </c>
      <c r="B25" s="1" t="s">
        <v>33</v>
      </c>
      <c r="C25" s="1" t="s">
        <v>13</v>
      </c>
      <c r="D25" s="1">
        <v>207</v>
      </c>
      <c r="E25" s="1">
        <v>518</v>
      </c>
      <c r="F25" s="1">
        <f t="shared" si="0"/>
        <v>108.78</v>
      </c>
      <c r="G25" s="1">
        <f t="shared" si="3"/>
        <v>409.22</v>
      </c>
      <c r="H25" s="1">
        <f t="shared" si="2"/>
        <v>85.936199999999999</v>
      </c>
      <c r="I25" s="5">
        <f t="shared" si="4"/>
        <v>7.2616089000000006</v>
      </c>
      <c r="J25" s="1">
        <f t="shared" si="5"/>
        <v>1.8473533041600003</v>
      </c>
      <c r="K25" s="1">
        <f t="shared" si="6"/>
        <v>5.4135294349500001</v>
      </c>
      <c r="N25" s="5"/>
      <c r="O25" s="5"/>
      <c r="P25" s="5"/>
      <c r="Q25" s="5"/>
      <c r="Z25" s="5"/>
    </row>
    <row r="26" spans="1:26" ht="17" x14ac:dyDescent="0.2">
      <c r="A26" s="1">
        <v>993</v>
      </c>
      <c r="B26" s="1" t="s">
        <v>34</v>
      </c>
      <c r="C26" s="1" t="s">
        <v>13</v>
      </c>
      <c r="D26" s="1">
        <v>106</v>
      </c>
      <c r="E26" s="1">
        <v>265</v>
      </c>
      <c r="F26" s="1">
        <f t="shared" si="0"/>
        <v>55.65</v>
      </c>
      <c r="G26" s="1">
        <f t="shared" si="3"/>
        <v>209.35000000000002</v>
      </c>
      <c r="H26" s="1">
        <f t="shared" si="2"/>
        <v>43.963500000000003</v>
      </c>
      <c r="I26" s="5">
        <f t="shared" si="4"/>
        <v>3.7149157500000007</v>
      </c>
      <c r="J26" s="1">
        <f t="shared" si="5"/>
        <v>0.94507456680000024</v>
      </c>
      <c r="K26" s="1">
        <f t="shared" si="6"/>
        <v>2.7694696916250003</v>
      </c>
      <c r="N26" s="5"/>
      <c r="O26" s="5"/>
      <c r="P26" s="5"/>
      <c r="Q26" s="5"/>
      <c r="Z26" s="5"/>
    </row>
    <row r="27" spans="1:26" ht="17" x14ac:dyDescent="0.2">
      <c r="A27" s="1">
        <v>232</v>
      </c>
      <c r="B27" s="1" t="s">
        <v>35</v>
      </c>
      <c r="C27" s="1" t="s">
        <v>13</v>
      </c>
      <c r="D27" s="1">
        <v>33</v>
      </c>
      <c r="E27" s="1">
        <v>83</v>
      </c>
      <c r="F27" s="1">
        <f t="shared" si="0"/>
        <v>17.43</v>
      </c>
      <c r="G27" s="1">
        <f t="shared" si="3"/>
        <v>65.570000000000007</v>
      </c>
      <c r="H27" s="1">
        <f t="shared" si="2"/>
        <v>13.7697</v>
      </c>
      <c r="I27" s="5">
        <f t="shared" si="4"/>
        <v>1.1635396500000001</v>
      </c>
      <c r="J27" s="1">
        <f t="shared" si="5"/>
        <v>0.29600448696000004</v>
      </c>
      <c r="K27" s="1">
        <f t="shared" si="6"/>
        <v>0.86741880907500002</v>
      </c>
      <c r="N27" s="5"/>
      <c r="O27" s="5"/>
      <c r="P27" s="5"/>
      <c r="Q27" s="5"/>
      <c r="Z27" s="5"/>
    </row>
    <row r="28" spans="1:26" ht="17" x14ac:dyDescent="0.2">
      <c r="A28" s="1">
        <v>3223</v>
      </c>
      <c r="B28" s="1" t="s">
        <v>36</v>
      </c>
      <c r="C28" s="1" t="s">
        <v>13</v>
      </c>
      <c r="D28" s="1">
        <v>238</v>
      </c>
      <c r="E28" s="1">
        <v>595</v>
      </c>
      <c r="F28" s="1">
        <f t="shared" si="0"/>
        <v>124.94999999999999</v>
      </c>
      <c r="G28" s="1">
        <f t="shared" si="3"/>
        <v>470.05</v>
      </c>
      <c r="H28" s="1">
        <f t="shared" si="2"/>
        <v>98.710499999999996</v>
      </c>
      <c r="I28" s="5">
        <f t="shared" si="4"/>
        <v>8.3410372499999994</v>
      </c>
      <c r="J28" s="1">
        <f t="shared" si="5"/>
        <v>2.1219598764000001</v>
      </c>
      <c r="K28" s="1">
        <f t="shared" si="6"/>
        <v>6.218243269874999</v>
      </c>
      <c r="N28" s="5"/>
      <c r="O28" s="5"/>
      <c r="P28" s="5"/>
      <c r="Q28" s="5"/>
      <c r="Z28" s="5"/>
    </row>
    <row r="29" spans="1:26" ht="17" x14ac:dyDescent="0.2">
      <c r="A29" s="1">
        <v>3233</v>
      </c>
      <c r="B29" s="1" t="s">
        <v>37</v>
      </c>
      <c r="C29" s="1" t="s">
        <v>13</v>
      </c>
      <c r="D29" s="1">
        <v>127</v>
      </c>
      <c r="E29" s="1">
        <v>318</v>
      </c>
      <c r="F29" s="1">
        <f t="shared" si="0"/>
        <v>66.78</v>
      </c>
      <c r="G29" s="1">
        <f t="shared" si="3"/>
        <v>251.22</v>
      </c>
      <c r="H29" s="1">
        <f t="shared" si="2"/>
        <v>52.7562</v>
      </c>
      <c r="I29" s="5">
        <f t="shared" si="4"/>
        <v>4.4578989</v>
      </c>
      <c r="J29" s="1">
        <f t="shared" si="5"/>
        <v>1.1340894801600001</v>
      </c>
      <c r="K29" s="1">
        <f t="shared" si="6"/>
        <v>3.3233636299499998</v>
      </c>
      <c r="N29" s="5"/>
      <c r="O29" s="5"/>
      <c r="P29" s="5"/>
      <c r="Q29" s="5"/>
      <c r="Z29" s="5"/>
    </row>
    <row r="30" spans="1:26" ht="17" x14ac:dyDescent="0.2">
      <c r="A30" s="1">
        <v>234</v>
      </c>
      <c r="B30" s="1" t="s">
        <v>38</v>
      </c>
      <c r="C30" s="1" t="s">
        <v>13</v>
      </c>
      <c r="D30" s="1">
        <v>72</v>
      </c>
      <c r="E30" s="1">
        <v>180</v>
      </c>
      <c r="F30" s="1">
        <f t="shared" si="0"/>
        <v>37.799999999999997</v>
      </c>
      <c r="G30" s="1">
        <f t="shared" si="3"/>
        <v>142.20000000000002</v>
      </c>
      <c r="H30" s="1">
        <f t="shared" si="2"/>
        <v>29.862000000000002</v>
      </c>
      <c r="I30" s="5">
        <f t="shared" si="4"/>
        <v>2.5233390000000004</v>
      </c>
      <c r="J30" s="1">
        <f t="shared" si="5"/>
        <v>0.6419374416000001</v>
      </c>
      <c r="K30" s="1">
        <f t="shared" si="6"/>
        <v>1.8811492245000001</v>
      </c>
      <c r="N30" s="5"/>
      <c r="O30" s="5"/>
      <c r="P30" s="5"/>
      <c r="Q30" s="5"/>
      <c r="Z30" s="5"/>
    </row>
    <row r="31" spans="1:26" ht="17" x14ac:dyDescent="0.2">
      <c r="A31" s="1">
        <v>32321</v>
      </c>
      <c r="B31" s="1" t="s">
        <v>39</v>
      </c>
      <c r="C31" s="1" t="s">
        <v>13</v>
      </c>
      <c r="D31" s="1">
        <v>204</v>
      </c>
      <c r="E31" s="1">
        <v>510</v>
      </c>
      <c r="F31" s="1">
        <f t="shared" si="0"/>
        <v>107.1</v>
      </c>
      <c r="G31" s="1">
        <f t="shared" si="3"/>
        <v>402.90000000000003</v>
      </c>
      <c r="H31" s="1">
        <f t="shared" si="2"/>
        <v>84.609000000000009</v>
      </c>
      <c r="I31" s="5">
        <f t="shared" si="4"/>
        <v>7.1494605000000009</v>
      </c>
      <c r="J31" s="1">
        <f t="shared" si="5"/>
        <v>1.8188227512000004</v>
      </c>
      <c r="K31" s="1">
        <f t="shared" si="6"/>
        <v>5.3299228027500005</v>
      </c>
      <c r="N31" s="5"/>
      <c r="O31" s="5"/>
      <c r="P31" s="5"/>
      <c r="Q31" s="5"/>
      <c r="Z31" s="5"/>
    </row>
    <row r="32" spans="1:26" ht="17" x14ac:dyDescent="0.2">
      <c r="A32" s="1">
        <v>3243</v>
      </c>
      <c r="B32" s="1" t="s">
        <v>40</v>
      </c>
      <c r="C32" s="1" t="s">
        <v>13</v>
      </c>
      <c r="D32" s="1">
        <v>128</v>
      </c>
      <c r="E32" s="1">
        <v>320</v>
      </c>
      <c r="F32" s="1">
        <f t="shared" si="0"/>
        <v>67.2</v>
      </c>
      <c r="G32" s="1">
        <f t="shared" si="3"/>
        <v>252.8</v>
      </c>
      <c r="H32" s="1">
        <f t="shared" si="2"/>
        <v>53.088000000000001</v>
      </c>
      <c r="I32" s="5">
        <f t="shared" si="4"/>
        <v>4.4859360000000006</v>
      </c>
      <c r="J32" s="1">
        <f t="shared" si="5"/>
        <v>1.1412221184000002</v>
      </c>
      <c r="K32" s="1">
        <f t="shared" si="6"/>
        <v>3.3442652880000003</v>
      </c>
      <c r="N32" s="5"/>
      <c r="O32" s="5"/>
      <c r="P32" s="5"/>
      <c r="Q32" s="5"/>
      <c r="Z32" s="5"/>
    </row>
    <row r="33" spans="1:26" ht="17" x14ac:dyDescent="0.2">
      <c r="A33" s="1">
        <v>2398</v>
      </c>
      <c r="B33" s="1" t="s">
        <v>41</v>
      </c>
      <c r="C33" s="1" t="s">
        <v>13</v>
      </c>
      <c r="D33" s="1">
        <v>74</v>
      </c>
      <c r="E33" s="1">
        <v>185</v>
      </c>
      <c r="F33" s="1">
        <f t="shared" si="0"/>
        <v>38.85</v>
      </c>
      <c r="G33" s="1">
        <f t="shared" si="3"/>
        <v>146.15</v>
      </c>
      <c r="H33" s="1">
        <f t="shared" si="2"/>
        <v>30.691500000000001</v>
      </c>
      <c r="I33" s="5">
        <f t="shared" si="4"/>
        <v>2.5934317500000001</v>
      </c>
      <c r="J33" s="1">
        <f t="shared" si="5"/>
        <v>0.65976903720000013</v>
      </c>
      <c r="K33" s="1">
        <f t="shared" si="6"/>
        <v>1.9334033696249999</v>
      </c>
      <c r="N33" s="5"/>
      <c r="O33" s="5"/>
      <c r="P33" s="5"/>
      <c r="Q33" s="5"/>
      <c r="Z33" s="5"/>
    </row>
    <row r="34" spans="1:26" ht="17" x14ac:dyDescent="0.2">
      <c r="A34" s="1">
        <v>2343</v>
      </c>
      <c r="B34" s="1" t="s">
        <v>42</v>
      </c>
      <c r="C34" s="1" t="s">
        <v>13</v>
      </c>
      <c r="D34" s="1">
        <v>134</v>
      </c>
      <c r="E34" s="1">
        <v>335</v>
      </c>
      <c r="F34" s="1">
        <f t="shared" si="0"/>
        <v>70.349999999999994</v>
      </c>
      <c r="G34" s="1">
        <f t="shared" si="3"/>
        <v>264.65000000000003</v>
      </c>
      <c r="H34" s="1">
        <f t="shared" si="2"/>
        <v>55.576500000000003</v>
      </c>
      <c r="I34" s="5">
        <f t="shared" si="4"/>
        <v>4.6962142500000006</v>
      </c>
      <c r="J34" s="1">
        <f t="shared" si="5"/>
        <v>1.1947169052000002</v>
      </c>
      <c r="K34" s="1">
        <f t="shared" si="6"/>
        <v>3.501027723375</v>
      </c>
      <c r="N34" s="5"/>
      <c r="O34" s="5"/>
      <c r="P34" s="5"/>
      <c r="Q34" s="5"/>
      <c r="Z34" s="5"/>
    </row>
    <row r="35" spans="1:26" ht="17" x14ac:dyDescent="0.2">
      <c r="A35" s="1">
        <v>2387</v>
      </c>
      <c r="B35" s="1" t="s">
        <v>43</v>
      </c>
      <c r="C35" s="1" t="s">
        <v>13</v>
      </c>
      <c r="D35" s="1">
        <v>301</v>
      </c>
      <c r="E35" s="1">
        <v>753</v>
      </c>
      <c r="F35" s="1">
        <f t="shared" si="0"/>
        <v>158.13</v>
      </c>
      <c r="G35" s="1">
        <f t="shared" si="3"/>
        <v>594.87</v>
      </c>
      <c r="H35" s="1">
        <f t="shared" si="2"/>
        <v>124.92269999999999</v>
      </c>
      <c r="I35" s="5">
        <f t="shared" si="4"/>
        <v>10.555968149999998</v>
      </c>
      <c r="J35" s="1">
        <f t="shared" si="5"/>
        <v>2.6854382973599997</v>
      </c>
      <c r="K35" s="1">
        <f t="shared" si="6"/>
        <v>7.8694742558249979</v>
      </c>
      <c r="N35" s="5"/>
      <c r="O35" s="5"/>
      <c r="P35" s="5"/>
      <c r="Q35" s="5"/>
      <c r="Z35" s="5"/>
    </row>
    <row r="36" spans="1:26" ht="17" x14ac:dyDescent="0.2">
      <c r="A36" s="1">
        <v>82765</v>
      </c>
      <c r="B36" s="1" t="s">
        <v>44</v>
      </c>
      <c r="C36" s="1" t="s">
        <v>13</v>
      </c>
      <c r="D36" s="1">
        <v>253</v>
      </c>
      <c r="E36" s="1">
        <v>633</v>
      </c>
      <c r="F36" s="1">
        <f t="shared" si="0"/>
        <v>132.93</v>
      </c>
      <c r="G36" s="1">
        <f t="shared" si="3"/>
        <v>500.07000000000005</v>
      </c>
      <c r="H36" s="1">
        <f t="shared" si="2"/>
        <v>105.0147</v>
      </c>
      <c r="I36" s="5">
        <f t="shared" si="4"/>
        <v>8.8737421500000018</v>
      </c>
      <c r="J36" s="1">
        <f t="shared" si="5"/>
        <v>2.2574800029600004</v>
      </c>
      <c r="K36" s="1">
        <f t="shared" si="6"/>
        <v>6.6153747728250005</v>
      </c>
      <c r="N36" s="5"/>
      <c r="O36" s="5"/>
      <c r="P36" s="5"/>
      <c r="Q36" s="5"/>
      <c r="Z36" s="5"/>
    </row>
    <row r="37" spans="1:26" ht="17" x14ac:dyDescent="0.2">
      <c r="A37" s="1">
        <v>8785</v>
      </c>
      <c r="B37" s="1" t="s">
        <v>45</v>
      </c>
      <c r="C37" s="1" t="s">
        <v>13</v>
      </c>
      <c r="D37" s="1">
        <v>173</v>
      </c>
      <c r="E37" s="1">
        <v>433</v>
      </c>
      <c r="F37" s="1">
        <f t="shared" si="0"/>
        <v>90.929999999999993</v>
      </c>
      <c r="G37" s="1">
        <f t="shared" si="3"/>
        <v>342.07</v>
      </c>
      <c r="H37" s="1">
        <f t="shared" si="2"/>
        <v>71.834699999999998</v>
      </c>
      <c r="I37" s="5">
        <f t="shared" si="4"/>
        <v>6.0700321500000003</v>
      </c>
      <c r="J37" s="1">
        <f t="shared" si="5"/>
        <v>1.5442161789600002</v>
      </c>
      <c r="K37" s="1">
        <f t="shared" si="6"/>
        <v>4.5252089678249998</v>
      </c>
      <c r="N37" s="5"/>
      <c r="O37" s="5"/>
      <c r="P37" s="5"/>
      <c r="Q37" s="5"/>
      <c r="Z37" s="5"/>
    </row>
    <row r="38" spans="1:26" ht="17" x14ac:dyDescent="0.2">
      <c r="A38" s="1">
        <v>211</v>
      </c>
      <c r="B38" s="1" t="s">
        <v>46</v>
      </c>
      <c r="C38" s="1" t="s">
        <v>13</v>
      </c>
      <c r="D38" s="1">
        <v>301</v>
      </c>
      <c r="E38" s="1">
        <v>753</v>
      </c>
      <c r="F38" s="1">
        <f t="shared" si="0"/>
        <v>158.13</v>
      </c>
      <c r="G38" s="1">
        <f t="shared" si="3"/>
        <v>594.87</v>
      </c>
      <c r="H38" s="1">
        <f t="shared" si="2"/>
        <v>124.92269999999999</v>
      </c>
      <c r="I38" s="5">
        <f t="shared" si="4"/>
        <v>10.555968149999998</v>
      </c>
      <c r="J38" s="1">
        <f t="shared" si="5"/>
        <v>2.6854382973599997</v>
      </c>
      <c r="K38" s="1">
        <f t="shared" si="6"/>
        <v>7.8694742558249979</v>
      </c>
      <c r="N38" s="5"/>
      <c r="O38" s="5"/>
      <c r="P38" s="5"/>
      <c r="Q38" s="5"/>
      <c r="Z38" s="5"/>
    </row>
    <row r="39" spans="1:26" ht="17" x14ac:dyDescent="0.2">
      <c r="A39" s="1">
        <v>34532</v>
      </c>
      <c r="B39" s="1" t="s">
        <v>47</v>
      </c>
      <c r="C39" s="1" t="s">
        <v>11</v>
      </c>
      <c r="D39" s="1">
        <v>173</v>
      </c>
      <c r="E39" s="1">
        <v>433</v>
      </c>
      <c r="F39" s="1">
        <f t="shared" si="0"/>
        <v>90.929999999999993</v>
      </c>
      <c r="G39" s="1">
        <f t="shared" si="3"/>
        <v>342.07</v>
      </c>
      <c r="H39" s="1">
        <f t="shared" si="2"/>
        <v>71.834699999999998</v>
      </c>
      <c r="I39" s="5">
        <f t="shared" si="4"/>
        <v>6.0700321500000003</v>
      </c>
      <c r="J39" s="1">
        <f t="shared" si="5"/>
        <v>1.5442161789600002</v>
      </c>
      <c r="K39" s="1">
        <f t="shared" si="6"/>
        <v>4.5252089678249998</v>
      </c>
      <c r="N39" s="5"/>
      <c r="O39" s="5"/>
      <c r="P39" s="5"/>
      <c r="Q39" s="5"/>
      <c r="Z39" s="5"/>
    </row>
    <row r="40" spans="1:26" ht="17" x14ac:dyDescent="0.2">
      <c r="A40" s="1">
        <v>238734</v>
      </c>
      <c r="B40" s="1" t="s">
        <v>48</v>
      </c>
      <c r="C40" s="1" t="s">
        <v>11</v>
      </c>
      <c r="D40" s="1">
        <v>364</v>
      </c>
      <c r="E40" s="1">
        <v>910</v>
      </c>
      <c r="F40" s="1">
        <f t="shared" si="0"/>
        <v>191.1</v>
      </c>
      <c r="G40" s="1">
        <f t="shared" si="3"/>
        <v>718.9</v>
      </c>
      <c r="H40" s="1">
        <f t="shared" si="2"/>
        <v>150.96899999999999</v>
      </c>
      <c r="I40" s="5">
        <f t="shared" si="4"/>
        <v>12.756880499999999</v>
      </c>
      <c r="J40" s="1">
        <f t="shared" si="5"/>
        <v>3.2453503991999999</v>
      </c>
      <c r="K40" s="1">
        <f t="shared" si="6"/>
        <v>9.5102544127499993</v>
      </c>
      <c r="N40" s="5"/>
      <c r="O40" s="5"/>
      <c r="P40" s="5"/>
      <c r="Q40" s="5"/>
      <c r="Z40" s="5"/>
    </row>
    <row r="41" spans="1:26" ht="17" x14ac:dyDescent="0.2">
      <c r="A41" s="1">
        <v>348</v>
      </c>
      <c r="B41" s="1" t="s">
        <v>49</v>
      </c>
      <c r="C41" s="1" t="s">
        <v>11</v>
      </c>
      <c r="D41" s="1">
        <v>332</v>
      </c>
      <c r="E41" s="1">
        <v>830</v>
      </c>
      <c r="F41" s="1">
        <f t="shared" si="0"/>
        <v>174.29999999999998</v>
      </c>
      <c r="G41" s="1">
        <f t="shared" si="3"/>
        <v>655.7</v>
      </c>
      <c r="H41" s="1">
        <f t="shared" si="2"/>
        <v>137.697</v>
      </c>
      <c r="I41" s="5">
        <f t="shared" si="4"/>
        <v>11.635396500000001</v>
      </c>
      <c r="J41" s="1">
        <f t="shared" si="5"/>
        <v>2.9600448696000004</v>
      </c>
      <c r="K41" s="1">
        <f t="shared" si="6"/>
        <v>8.6741880907500004</v>
      </c>
      <c r="N41" s="5"/>
      <c r="O41" s="5"/>
      <c r="P41" s="5"/>
      <c r="Q41" s="5"/>
      <c r="Z41" s="5"/>
    </row>
    <row r="42" spans="1:26" ht="17" x14ac:dyDescent="0.2">
      <c r="A42" s="1">
        <v>2389</v>
      </c>
      <c r="B42" s="1" t="s">
        <v>50</v>
      </c>
      <c r="C42" s="1" t="s">
        <v>11</v>
      </c>
      <c r="D42" s="1">
        <v>316</v>
      </c>
      <c r="E42" s="1">
        <v>790</v>
      </c>
      <c r="F42" s="1">
        <f t="shared" si="0"/>
        <v>165.9</v>
      </c>
      <c r="G42" s="1">
        <f t="shared" si="3"/>
        <v>624.1</v>
      </c>
      <c r="H42" s="1">
        <f t="shared" si="2"/>
        <v>131.06100000000001</v>
      </c>
      <c r="I42" s="5">
        <f t="shared" si="4"/>
        <v>11.074654500000003</v>
      </c>
      <c r="J42" s="1">
        <f t="shared" si="5"/>
        <v>2.817392104800001</v>
      </c>
      <c r="K42" s="1">
        <f t="shared" si="6"/>
        <v>8.2561549297500019</v>
      </c>
      <c r="N42" s="5"/>
      <c r="O42" s="5"/>
      <c r="P42" s="5"/>
      <c r="Q42" s="5"/>
      <c r="Z42" s="5"/>
    </row>
    <row r="43" spans="1:26" ht="17" x14ac:dyDescent="0.2">
      <c r="A43" s="1">
        <v>34132</v>
      </c>
      <c r="B43" s="1" t="s">
        <v>51</v>
      </c>
      <c r="C43" s="1" t="s">
        <v>11</v>
      </c>
      <c r="D43" s="1">
        <v>177</v>
      </c>
      <c r="E43" s="1">
        <v>443</v>
      </c>
      <c r="F43" s="1">
        <f t="shared" si="0"/>
        <v>93.03</v>
      </c>
      <c r="G43" s="1">
        <f t="shared" si="3"/>
        <v>349.97</v>
      </c>
      <c r="H43" s="1">
        <f t="shared" si="2"/>
        <v>73.493700000000004</v>
      </c>
      <c r="I43" s="5">
        <f t="shared" si="4"/>
        <v>6.2102176500000015</v>
      </c>
      <c r="J43" s="1">
        <f t="shared" si="5"/>
        <v>1.5798793701600005</v>
      </c>
      <c r="K43" s="1">
        <f t="shared" si="6"/>
        <v>4.6297172580750008</v>
      </c>
      <c r="N43" s="5"/>
      <c r="O43" s="5"/>
      <c r="P43" s="5"/>
      <c r="Q43" s="5"/>
      <c r="Z43" s="5"/>
    </row>
    <row r="45" spans="1:26" x14ac:dyDescent="0.2">
      <c r="N45" s="6"/>
    </row>
    <row r="46" spans="1:26" x14ac:dyDescent="0.2">
      <c r="H46"/>
      <c r="I46"/>
      <c r="J46"/>
      <c r="K46"/>
      <c r="L46"/>
      <c r="M46"/>
      <c r="N46"/>
      <c r="O46"/>
      <c r="P46"/>
    </row>
    <row r="47" spans="1:26" x14ac:dyDescent="0.2">
      <c r="H47"/>
      <c r="I47"/>
      <c r="J47"/>
      <c r="K47"/>
      <c r="L47"/>
      <c r="M47"/>
      <c r="N47"/>
      <c r="O47"/>
      <c r="P4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2025-12-16T20:23:37Z</dcterms:created>
  <dcterms:modified xsi:type="dcterms:W3CDTF">2026-01-29T15:02:31Z</dcterms:modified>
</cp:coreProperties>
</file>