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BB5FE4FC-6A6D-CB4C-912D-AB40CD0AA753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I6" i="1" l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5" i="1"/>
  <c r="J5" i="1" s="1"/>
  <c r="J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I3" i="1"/>
  <c r="J3" i="1" s="1"/>
  <c r="I4" i="1"/>
  <c r="J4" i="1" s="1"/>
  <c r="I2" i="1"/>
  <c r="J2" i="1" s="1"/>
</calcChain>
</file>

<file path=xl/sharedStrings.xml><?xml version="1.0" encoding="utf-8"?>
<sst xmlns="http://schemas.openxmlformats.org/spreadsheetml/2006/main" count="98" uniqueCount="61">
  <si>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</si>
  <si>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</si>
  <si>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</si>
  <si>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</si>
  <si>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</si>
  <si>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</si>
  <si>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</si>
  <si>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</si>
  <si>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</si>
  <si>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</si>
  <si>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</si>
  <si>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</si>
  <si>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</si>
  <si>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</si>
  <si>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</si>
  <si>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</si>
  <si>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</si>
  <si>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</si>
  <si>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</si>
  <si>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</si>
  <si>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</si>
  <si>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</si>
  <si>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</si>
  <si>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</si>
  <si>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</si>
  <si>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</si>
  <si>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</si>
  <si>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</si>
  <si>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</si>
  <si>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</si>
  <si>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</si>
  <si>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</si>
  <si>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</si>
  <si>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</si>
  <si>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</si>
  <si>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</si>
  <si>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</si>
  <si>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</si>
  <si>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</si>
  <si>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</si>
  <si>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</si>
  <si>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</si>
  <si>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</si>
  <si>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</si>
  <si>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</si>
  <si>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</si>
  <si>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</si>
  <si>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</si>
  <si>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</si>
  <si>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</si>
  <si>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</si>
  <si>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</si>
  <si>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</si>
  <si>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</si>
  <si>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</si>
  <si>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x</t>
  </si>
  <si>
    <t>y</t>
  </si>
  <si>
    <t>travel to S-bhan Freiham</t>
  </si>
  <si>
    <t>travel to U-bhan Freiham</t>
  </si>
  <si>
    <t>travel to S-bhan Aubing</t>
  </si>
  <si>
    <t>leisure_outside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</si>
</sst>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47"/>
  <sheetViews>
    <sheetView tabSelected="1" zoomScale="75" workbookViewId="0">
      <selection activeCell="L28" sqref="L28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3.5" style="1" bestFit="1" customWidth="1"/>
    <col min="12" max="12" width="16.5" style="1" customWidth="1"/>
    <col min="13" max="13" width="15.16406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55</v>
      </c>
      <c r="D1" t="s">
        <v>56</v>
      </c>
      <c r="E1" s="2" t="s">
        <v>2</v>
      </c>
      <c r="F1" s="2" t="s">
        <v>3</v>
      </c>
      <c r="G1" s="2" t="s">
        <v>4</v>
      </c>
      <c r="H1" s="2" t="s">
        <v>53</v>
      </c>
      <c r="I1" s="2" t="s">
        <v>52</v>
      </c>
      <c r="J1" s="3" t="s">
        <v>54</v>
      </c>
      <c r="K1" s="4" t="s">
        <v>60</v>
      </c>
      <c r="L1" s="2" t="s">
        <v>57</v>
      </c>
      <c r="M1" s="2" t="s">
        <v>58</v>
      </c>
      <c r="N1" s="2" t="s">
        <v>59</v>
      </c>
      <c r="O1" s="2"/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34" x14ac:dyDescent="0.2">
      <c r="A2" s="1">
        <v>1</v>
      </c>
      <c r="B2" s="1" t="s">
        <v>5</v>
      </c>
      <c r="C2">
        <v>-35</v>
      </c>
      <c r="D2">
        <v>735</v>
      </c>
      <c r="E2" s="1" t="s">
        <v>6</v>
      </c>
      <c r="F2" s="1">
        <v>0</v>
      </c>
      <c r="G2" s="1">
        <v>0</v>
      </c>
      <c r="H2" s="1">
        <f t="shared" ref="H2:H43" si="0">G2*0.21</f>
        <v>0</v>
      </c>
      <c r="I2" s="1">
        <f t="shared" ref="I2:I4" si="1">F2*0.79</f>
        <v>0</v>
      </c>
      <c r="J2" s="1">
        <f>I2*0.21</f>
        <v>0</v>
      </c>
      <c r="K2" s="5"/>
      <c r="N2" s="5"/>
      <c r="S2" s="5"/>
      <c r="V2" s="5"/>
      <c r="AE2" s="5"/>
    </row>
    <row r="3" spans="1:31" ht="17" x14ac:dyDescent="0.2">
      <c r="A3" s="1">
        <v>2</v>
      </c>
      <c r="B3" s="1" t="s">
        <v>7</v>
      </c>
      <c r="C3">
        <v>70</v>
      </c>
      <c r="D3">
        <v>720</v>
      </c>
      <c r="E3" s="1" t="s">
        <v>8</v>
      </c>
      <c r="F3" s="1">
        <v>0</v>
      </c>
      <c r="G3" s="1">
        <v>0</v>
      </c>
      <c r="H3" s="1">
        <f t="shared" si="0"/>
        <v>0</v>
      </c>
      <c r="I3" s="1">
        <f t="shared" si="1"/>
        <v>0</v>
      </c>
      <c r="J3" s="1">
        <f t="shared" ref="J3:J43" si="2">I3*0.21</f>
        <v>0</v>
      </c>
      <c r="K3" s="5"/>
      <c r="N3" s="5"/>
      <c r="S3" s="5"/>
      <c r="V3" s="5"/>
      <c r="AE3" s="5"/>
    </row>
    <row r="4" spans="1:31" ht="17" x14ac:dyDescent="0.2">
      <c r="A4" s="1">
        <v>3</v>
      </c>
      <c r="B4" s="1" t="s">
        <v>9</v>
      </c>
      <c r="C4">
        <v>185</v>
      </c>
      <c r="D4">
        <v>675</v>
      </c>
      <c r="E4" s="1" t="s">
        <v>8</v>
      </c>
      <c r="F4" s="1">
        <v>0</v>
      </c>
      <c r="G4" s="1">
        <v>0</v>
      </c>
      <c r="H4" s="1">
        <f t="shared" si="0"/>
        <v>0</v>
      </c>
      <c r="I4" s="1">
        <f t="shared" si="1"/>
        <v>0</v>
      </c>
      <c r="J4" s="1">
        <f t="shared" si="2"/>
        <v>0</v>
      </c>
      <c r="K4" s="5"/>
      <c r="N4" s="5"/>
      <c r="S4" s="5"/>
      <c r="V4" s="5"/>
      <c r="AE4" s="5"/>
    </row>
    <row r="5" spans="1:31" ht="17" x14ac:dyDescent="0.2">
      <c r="A5" s="1">
        <v>4</v>
      </c>
      <c r="B5" s="1" t="s">
        <v>10</v>
      </c>
      <c r="C5">
        <v>-150</v>
      </c>
      <c r="D5">
        <v>620</v>
      </c>
      <c r="E5" s="1" t="s">
        <v>11</v>
      </c>
      <c r="F5" s="1">
        <v>357</v>
      </c>
      <c r="G5" s="1">
        <v>929</v>
      </c>
      <c r="H5" s="1">
        <f t="shared" si="0"/>
        <v>195.09</v>
      </c>
      <c r="I5" s="1">
        <f>G5*0.79</f>
        <v>733.91000000000008</v>
      </c>
      <c r="J5" s="1">
        <f t="shared" si="2"/>
        <v>154.12110000000001</v>
      </c>
      <c r="K5" s="5">
        <f>$H5*29%*15%</f>
        <v>8.4864149999999992</v>
      </c>
      <c r="N5" s="5"/>
      <c r="S5" s="5"/>
      <c r="T5" s="5"/>
      <c r="U5" s="5"/>
      <c r="V5" s="5"/>
      <c r="AE5" s="5"/>
    </row>
    <row r="6" spans="1:31" ht="17" x14ac:dyDescent="0.2">
      <c r="A6" s="1">
        <v>5</v>
      </c>
      <c r="B6" s="1" t="s">
        <v>12</v>
      </c>
      <c r="C6">
        <v>0</v>
      </c>
      <c r="D6">
        <v>600</v>
      </c>
      <c r="E6" s="1" t="s">
        <v>13</v>
      </c>
      <c r="F6" s="1">
        <v>263</v>
      </c>
      <c r="G6" s="1">
        <v>685</v>
      </c>
      <c r="H6" s="1">
        <f t="shared" si="0"/>
        <v>143.85</v>
      </c>
      <c r="I6" s="1">
        <f t="shared" ref="I6:I43" si="3">G6*0.79</f>
        <v>541.15</v>
      </c>
      <c r="J6" s="1">
        <f t="shared" si="2"/>
        <v>113.64149999999999</v>
      </c>
      <c r="K6" s="5">
        <f t="shared" ref="K6:K43" si="4">$H6*29%*15%</f>
        <v>6.2574749999999995</v>
      </c>
      <c r="N6" s="5"/>
      <c r="S6" s="5"/>
      <c r="T6" s="5"/>
      <c r="U6" s="5"/>
      <c r="V6" s="5"/>
      <c r="AE6" s="5"/>
    </row>
    <row r="7" spans="1:31" ht="17" x14ac:dyDescent="0.2">
      <c r="A7" s="1">
        <v>6</v>
      </c>
      <c r="B7" s="1" t="s">
        <v>14</v>
      </c>
      <c r="C7">
        <v>125</v>
      </c>
      <c r="D7">
        <v>580</v>
      </c>
      <c r="E7" s="1" t="s">
        <v>13</v>
      </c>
      <c r="F7" s="1">
        <v>273</v>
      </c>
      <c r="G7" s="1">
        <v>709</v>
      </c>
      <c r="H7" s="1">
        <f t="shared" si="0"/>
        <v>148.88999999999999</v>
      </c>
      <c r="I7" s="1">
        <f t="shared" si="3"/>
        <v>560.11</v>
      </c>
      <c r="J7" s="1">
        <f t="shared" si="2"/>
        <v>117.62309999999999</v>
      </c>
      <c r="K7" s="5">
        <f t="shared" si="4"/>
        <v>6.4767149999999987</v>
      </c>
      <c r="N7" s="5"/>
      <c r="S7" s="5"/>
      <c r="T7" s="5"/>
      <c r="U7" s="5"/>
      <c r="V7" s="5"/>
      <c r="AE7" s="5"/>
    </row>
    <row r="8" spans="1:31" ht="17" x14ac:dyDescent="0.2">
      <c r="A8" s="1">
        <v>7</v>
      </c>
      <c r="B8" s="1" t="s">
        <v>15</v>
      </c>
      <c r="C8">
        <v>-210</v>
      </c>
      <c r="D8">
        <v>480</v>
      </c>
      <c r="E8" s="1" t="s">
        <v>13</v>
      </c>
      <c r="F8" s="1">
        <v>413</v>
      </c>
      <c r="G8" s="1">
        <v>1075</v>
      </c>
      <c r="H8" s="1">
        <f t="shared" si="0"/>
        <v>225.75</v>
      </c>
      <c r="I8" s="1">
        <f t="shared" si="3"/>
        <v>849.25</v>
      </c>
      <c r="J8" s="1">
        <f t="shared" si="2"/>
        <v>178.3425</v>
      </c>
      <c r="K8" s="5">
        <f t="shared" si="4"/>
        <v>9.8201249999999991</v>
      </c>
      <c r="N8" s="5"/>
      <c r="S8" s="5"/>
      <c r="T8" s="5"/>
      <c r="U8" s="5"/>
      <c r="V8" s="5"/>
      <c r="AE8" s="5"/>
    </row>
    <row r="9" spans="1:31" ht="17" x14ac:dyDescent="0.2">
      <c r="A9" s="1">
        <v>8</v>
      </c>
      <c r="B9" s="1" t="s">
        <v>16</v>
      </c>
      <c r="C9">
        <v>-50</v>
      </c>
      <c r="D9">
        <v>485</v>
      </c>
      <c r="E9" s="1" t="s">
        <v>13</v>
      </c>
      <c r="F9" s="1">
        <v>341</v>
      </c>
      <c r="G9" s="1">
        <v>885</v>
      </c>
      <c r="H9" s="1">
        <f t="shared" si="0"/>
        <v>185.85</v>
      </c>
      <c r="I9" s="1">
        <f t="shared" si="3"/>
        <v>699.15</v>
      </c>
      <c r="J9" s="1">
        <f t="shared" si="2"/>
        <v>146.82149999999999</v>
      </c>
      <c r="K9" s="5">
        <f t="shared" si="4"/>
        <v>8.0844749999999994</v>
      </c>
      <c r="N9" s="5"/>
      <c r="S9" s="5"/>
      <c r="T9" s="5"/>
      <c r="U9" s="5"/>
      <c r="V9" s="5"/>
      <c r="AE9" s="5"/>
    </row>
    <row r="10" spans="1:31" ht="17" x14ac:dyDescent="0.2">
      <c r="A10" s="1">
        <v>9</v>
      </c>
      <c r="B10" s="1" t="s">
        <v>17</v>
      </c>
      <c r="C10">
        <v>85</v>
      </c>
      <c r="D10">
        <v>475</v>
      </c>
      <c r="E10" s="1" t="s">
        <v>13</v>
      </c>
      <c r="F10" s="1">
        <v>124</v>
      </c>
      <c r="G10" s="1">
        <v>323</v>
      </c>
      <c r="H10" s="1">
        <f t="shared" si="0"/>
        <v>67.83</v>
      </c>
      <c r="I10" s="1">
        <f t="shared" si="3"/>
        <v>255.17000000000002</v>
      </c>
      <c r="J10" s="1">
        <f t="shared" si="2"/>
        <v>53.585700000000003</v>
      </c>
      <c r="K10" s="5">
        <f t="shared" si="4"/>
        <v>2.9506049999999995</v>
      </c>
      <c r="N10" s="5"/>
      <c r="S10" s="5"/>
      <c r="T10" s="5"/>
      <c r="U10" s="5"/>
      <c r="V10" s="5"/>
      <c r="AE10" s="5"/>
    </row>
    <row r="11" spans="1:31" ht="17" x14ac:dyDescent="0.2">
      <c r="A11" s="1">
        <v>10</v>
      </c>
      <c r="B11" s="1" t="s">
        <v>18</v>
      </c>
      <c r="C11">
        <v>-310</v>
      </c>
      <c r="D11">
        <v>250</v>
      </c>
      <c r="E11" s="1" t="s">
        <v>13</v>
      </c>
      <c r="F11" s="1">
        <v>395</v>
      </c>
      <c r="G11" s="1">
        <v>1027</v>
      </c>
      <c r="H11" s="1">
        <f t="shared" si="0"/>
        <v>215.67</v>
      </c>
      <c r="I11" s="1">
        <f t="shared" si="3"/>
        <v>811.33</v>
      </c>
      <c r="J11" s="1">
        <f t="shared" si="2"/>
        <v>170.3793</v>
      </c>
      <c r="K11" s="5">
        <f t="shared" si="4"/>
        <v>9.3816449999999989</v>
      </c>
      <c r="N11" s="5"/>
      <c r="S11" s="5"/>
      <c r="T11" s="5"/>
      <c r="U11" s="5"/>
      <c r="V11" s="5"/>
      <c r="AE11" s="5"/>
    </row>
    <row r="12" spans="1:31" ht="17" x14ac:dyDescent="0.2">
      <c r="A12" s="1">
        <v>11</v>
      </c>
      <c r="B12" s="1" t="s">
        <v>19</v>
      </c>
      <c r="C12">
        <v>-120</v>
      </c>
      <c r="D12">
        <v>295</v>
      </c>
      <c r="E12" s="1" t="s">
        <v>13</v>
      </c>
      <c r="F12" s="1">
        <v>291</v>
      </c>
      <c r="G12" s="1">
        <v>756</v>
      </c>
      <c r="H12" s="1">
        <f t="shared" si="0"/>
        <v>158.76</v>
      </c>
      <c r="I12" s="1">
        <f t="shared" si="3"/>
        <v>597.24</v>
      </c>
      <c r="J12" s="1">
        <f t="shared" si="2"/>
        <v>125.4204</v>
      </c>
      <c r="K12" s="5">
        <f t="shared" si="4"/>
        <v>6.9060599999999983</v>
      </c>
      <c r="N12" s="5"/>
      <c r="S12" s="5"/>
      <c r="T12" s="5"/>
      <c r="U12" s="5"/>
      <c r="V12" s="5"/>
      <c r="AE12" s="5"/>
    </row>
    <row r="13" spans="1:31" ht="17" x14ac:dyDescent="0.2">
      <c r="A13" s="1">
        <v>12</v>
      </c>
      <c r="B13" s="1" t="s">
        <v>20</v>
      </c>
      <c r="C13">
        <v>30</v>
      </c>
      <c r="D13">
        <v>290</v>
      </c>
      <c r="E13" s="1" t="s">
        <v>13</v>
      </c>
      <c r="F13" s="1">
        <v>327</v>
      </c>
      <c r="G13" s="1">
        <v>850</v>
      </c>
      <c r="H13" s="1">
        <f t="shared" si="0"/>
        <v>178.5</v>
      </c>
      <c r="I13" s="1">
        <f t="shared" si="3"/>
        <v>671.5</v>
      </c>
      <c r="J13" s="1">
        <f t="shared" si="2"/>
        <v>141.01499999999999</v>
      </c>
      <c r="K13" s="5">
        <f t="shared" si="4"/>
        <v>7.7647499999999985</v>
      </c>
      <c r="N13" s="5"/>
      <c r="S13" s="5"/>
      <c r="T13" s="5"/>
      <c r="U13" s="5"/>
      <c r="V13" s="5"/>
      <c r="AE13" s="5"/>
    </row>
    <row r="14" spans="1:31" ht="17" x14ac:dyDescent="0.2">
      <c r="A14" s="1">
        <v>13</v>
      </c>
      <c r="B14" s="1" t="s">
        <v>21</v>
      </c>
      <c r="C14">
        <v>-330</v>
      </c>
      <c r="D14">
        <v>115</v>
      </c>
      <c r="E14" s="1" t="s">
        <v>13</v>
      </c>
      <c r="F14" s="1">
        <v>423</v>
      </c>
      <c r="G14" s="1">
        <v>1100</v>
      </c>
      <c r="H14" s="1">
        <f t="shared" si="0"/>
        <v>231</v>
      </c>
      <c r="I14" s="1">
        <f t="shared" si="3"/>
        <v>869</v>
      </c>
      <c r="J14" s="1">
        <f t="shared" si="2"/>
        <v>182.48999999999998</v>
      </c>
      <c r="K14" s="5">
        <f t="shared" si="4"/>
        <v>10.048499999999999</v>
      </c>
      <c r="N14" s="5"/>
      <c r="S14" s="5"/>
      <c r="T14" s="5"/>
      <c r="U14" s="5"/>
      <c r="V14" s="5"/>
      <c r="AE14" s="5"/>
    </row>
    <row r="15" spans="1:31" ht="17" x14ac:dyDescent="0.2">
      <c r="A15" s="1">
        <v>14</v>
      </c>
      <c r="B15" s="1" t="s">
        <v>22</v>
      </c>
      <c r="C15">
        <v>-150</v>
      </c>
      <c r="D15">
        <v>190</v>
      </c>
      <c r="E15" s="1" t="s">
        <v>13</v>
      </c>
      <c r="F15" s="1">
        <v>256</v>
      </c>
      <c r="G15" s="1">
        <v>667</v>
      </c>
      <c r="H15" s="1">
        <f t="shared" si="0"/>
        <v>140.07</v>
      </c>
      <c r="I15" s="1">
        <f t="shared" si="3"/>
        <v>526.93000000000006</v>
      </c>
      <c r="J15" s="1">
        <f t="shared" si="2"/>
        <v>110.65530000000001</v>
      </c>
      <c r="K15" s="5">
        <f t="shared" si="4"/>
        <v>6.0930449999999992</v>
      </c>
      <c r="N15" s="5"/>
      <c r="S15" s="5"/>
      <c r="T15" s="5"/>
      <c r="U15" s="5"/>
      <c r="V15" s="5"/>
      <c r="AE15" s="5"/>
    </row>
    <row r="16" spans="1:31" ht="17" x14ac:dyDescent="0.2">
      <c r="A16" s="1">
        <v>14</v>
      </c>
      <c r="B16" s="1" t="s">
        <v>23</v>
      </c>
      <c r="C16">
        <v>-20</v>
      </c>
      <c r="D16">
        <v>125</v>
      </c>
      <c r="E16" s="1" t="s">
        <v>13</v>
      </c>
      <c r="F16" s="1">
        <v>504</v>
      </c>
      <c r="G16" s="1">
        <v>1310</v>
      </c>
      <c r="H16" s="1">
        <f t="shared" si="0"/>
        <v>275.09999999999997</v>
      </c>
      <c r="I16" s="1">
        <f t="shared" si="3"/>
        <v>1034.9000000000001</v>
      </c>
      <c r="J16" s="1">
        <f t="shared" si="2"/>
        <v>217.32900000000001</v>
      </c>
      <c r="K16" s="5">
        <f t="shared" si="4"/>
        <v>11.966849999999997</v>
      </c>
      <c r="N16" s="5"/>
      <c r="S16" s="5"/>
      <c r="T16" s="5"/>
      <c r="U16" s="5"/>
      <c r="V16" s="5"/>
      <c r="AE16" s="5"/>
    </row>
    <row r="17" spans="1:31" ht="17" x14ac:dyDescent="0.2">
      <c r="A17" s="1">
        <v>15</v>
      </c>
      <c r="B17" s="1" t="s">
        <v>24</v>
      </c>
      <c r="C17">
        <v>-315</v>
      </c>
      <c r="D17">
        <v>-43</v>
      </c>
      <c r="E17" s="1" t="s">
        <v>13</v>
      </c>
      <c r="F17" s="1">
        <v>536</v>
      </c>
      <c r="G17" s="1">
        <v>1392</v>
      </c>
      <c r="H17" s="1">
        <f t="shared" si="0"/>
        <v>292.32</v>
      </c>
      <c r="I17" s="1">
        <f t="shared" si="3"/>
        <v>1099.68</v>
      </c>
      <c r="J17" s="1">
        <f t="shared" si="2"/>
        <v>230.93280000000001</v>
      </c>
      <c r="K17" s="5">
        <f t="shared" si="4"/>
        <v>12.715919999999999</v>
      </c>
      <c r="N17" s="5"/>
      <c r="S17" s="5"/>
      <c r="T17" s="5"/>
      <c r="U17" s="5"/>
      <c r="V17" s="5"/>
      <c r="AE17" s="5"/>
    </row>
    <row r="18" spans="1:31" ht="17" x14ac:dyDescent="0.2">
      <c r="A18" s="1">
        <v>15</v>
      </c>
      <c r="B18" s="1" t="s">
        <v>25</v>
      </c>
      <c r="C18">
        <v>-160</v>
      </c>
      <c r="D18">
        <v>50</v>
      </c>
      <c r="E18" s="1" t="s">
        <v>13</v>
      </c>
      <c r="F18" s="1">
        <v>229</v>
      </c>
      <c r="G18" s="1">
        <v>595</v>
      </c>
      <c r="H18" s="1">
        <f t="shared" si="0"/>
        <v>124.94999999999999</v>
      </c>
      <c r="I18" s="1">
        <f t="shared" si="3"/>
        <v>470.05</v>
      </c>
      <c r="J18" s="1">
        <f t="shared" si="2"/>
        <v>98.710499999999996</v>
      </c>
      <c r="K18" s="5">
        <f t="shared" si="4"/>
        <v>5.4353249999999989</v>
      </c>
      <c r="N18" s="5"/>
      <c r="S18" s="5"/>
      <c r="T18" s="5"/>
      <c r="U18" s="5"/>
      <c r="V18" s="5"/>
      <c r="AE18" s="5"/>
    </row>
    <row r="19" spans="1:31" ht="17" x14ac:dyDescent="0.2">
      <c r="A19" s="1">
        <v>16</v>
      </c>
      <c r="B19" s="1" t="s">
        <v>26</v>
      </c>
      <c r="C19">
        <v>-95</v>
      </c>
      <c r="D19">
        <v>-45</v>
      </c>
      <c r="E19" s="1" t="s">
        <v>13</v>
      </c>
      <c r="F19" s="1">
        <v>460</v>
      </c>
      <c r="G19" s="1">
        <v>1196</v>
      </c>
      <c r="H19" s="1">
        <f t="shared" si="0"/>
        <v>251.16</v>
      </c>
      <c r="I19" s="1">
        <f t="shared" si="3"/>
        <v>944.84</v>
      </c>
      <c r="J19" s="1">
        <f t="shared" si="2"/>
        <v>198.41640000000001</v>
      </c>
      <c r="K19" s="5">
        <f t="shared" si="4"/>
        <v>10.925459999999999</v>
      </c>
      <c r="N19" s="5"/>
      <c r="S19" s="5"/>
      <c r="T19" s="5"/>
      <c r="U19" s="5"/>
      <c r="V19" s="5"/>
      <c r="AE19" s="5"/>
    </row>
    <row r="20" spans="1:31" ht="34" x14ac:dyDescent="0.2">
      <c r="A20" s="1">
        <v>17</v>
      </c>
      <c r="B20" s="1" t="s">
        <v>27</v>
      </c>
      <c r="C20">
        <v>-245</v>
      </c>
      <c r="D20">
        <v>-225</v>
      </c>
      <c r="E20" s="1" t="s">
        <v>28</v>
      </c>
      <c r="F20" s="1">
        <v>0</v>
      </c>
      <c r="G20" s="1">
        <v>0</v>
      </c>
      <c r="H20" s="1">
        <f t="shared" si="0"/>
        <v>0</v>
      </c>
      <c r="I20" s="1">
        <f t="shared" si="3"/>
        <v>0</v>
      </c>
      <c r="J20" s="1">
        <f t="shared" si="2"/>
        <v>0</v>
      </c>
      <c r="K20" s="5">
        <f t="shared" si="4"/>
        <v>0</v>
      </c>
      <c r="N20" s="5"/>
      <c r="S20" s="5"/>
      <c r="T20" s="5"/>
      <c r="U20" s="5"/>
      <c r="V20" s="5"/>
      <c r="AE20" s="5"/>
    </row>
    <row r="21" spans="1:31" ht="34" x14ac:dyDescent="0.2">
      <c r="A21" s="1">
        <v>18</v>
      </c>
      <c r="B21" s="1" t="s">
        <v>29</v>
      </c>
      <c r="C21">
        <v>-225</v>
      </c>
      <c r="D21">
        <v>-340</v>
      </c>
      <c r="E21" s="1" t="s">
        <v>28</v>
      </c>
      <c r="F21" s="1">
        <v>0</v>
      </c>
      <c r="G21" s="1">
        <v>0</v>
      </c>
      <c r="H21" s="1">
        <f t="shared" si="0"/>
        <v>0</v>
      </c>
      <c r="I21" s="1">
        <f t="shared" si="3"/>
        <v>0</v>
      </c>
      <c r="J21" s="1">
        <f t="shared" si="2"/>
        <v>0</v>
      </c>
      <c r="K21" s="5">
        <f t="shared" si="4"/>
        <v>0</v>
      </c>
      <c r="N21" s="5"/>
      <c r="S21" s="5"/>
      <c r="T21" s="5"/>
      <c r="U21" s="5"/>
      <c r="V21" s="5"/>
      <c r="AE21" s="5"/>
    </row>
    <row r="22" spans="1:31" ht="17" x14ac:dyDescent="0.2">
      <c r="A22" s="1">
        <v>19</v>
      </c>
      <c r="B22" s="1" t="s">
        <v>30</v>
      </c>
      <c r="C22">
        <v>-35</v>
      </c>
      <c r="D22">
        <v>-175</v>
      </c>
      <c r="E22" s="1" t="s">
        <v>13</v>
      </c>
      <c r="F22" s="1">
        <v>418</v>
      </c>
      <c r="G22" s="1">
        <v>1087</v>
      </c>
      <c r="H22" s="1">
        <f t="shared" si="0"/>
        <v>228.26999999999998</v>
      </c>
      <c r="I22" s="1">
        <f t="shared" si="3"/>
        <v>858.73</v>
      </c>
      <c r="J22" s="1">
        <f t="shared" si="2"/>
        <v>180.33330000000001</v>
      </c>
      <c r="K22" s="5">
        <f t="shared" si="4"/>
        <v>9.9297449999999987</v>
      </c>
      <c r="N22" s="5"/>
      <c r="S22" s="5"/>
      <c r="T22" s="5"/>
      <c r="U22" s="5"/>
      <c r="V22" s="5"/>
      <c r="AE22" s="5"/>
    </row>
    <row r="23" spans="1:31" ht="17" x14ac:dyDescent="0.2">
      <c r="A23" s="1">
        <v>20</v>
      </c>
      <c r="B23" s="1" t="s">
        <v>31</v>
      </c>
      <c r="C23">
        <v>-50</v>
      </c>
      <c r="D23">
        <v>-290</v>
      </c>
      <c r="E23" s="1" t="s">
        <v>13</v>
      </c>
      <c r="F23" s="1">
        <v>256</v>
      </c>
      <c r="G23" s="1">
        <v>665</v>
      </c>
      <c r="H23" s="1">
        <f t="shared" si="0"/>
        <v>139.65</v>
      </c>
      <c r="I23" s="1">
        <f t="shared" si="3"/>
        <v>525.35</v>
      </c>
      <c r="J23" s="1">
        <f t="shared" si="2"/>
        <v>110.3235</v>
      </c>
      <c r="K23" s="5">
        <f t="shared" si="4"/>
        <v>6.0747749999999998</v>
      </c>
      <c r="N23" s="5"/>
      <c r="S23" s="5"/>
      <c r="T23" s="5"/>
      <c r="U23" s="5"/>
      <c r="V23" s="5"/>
      <c r="AE23" s="5"/>
    </row>
    <row r="24" spans="1:31" ht="17" x14ac:dyDescent="0.2">
      <c r="A24" s="1">
        <v>21</v>
      </c>
      <c r="B24" s="1" t="s">
        <v>32</v>
      </c>
      <c r="C24">
        <v>85</v>
      </c>
      <c r="D24">
        <v>-255</v>
      </c>
      <c r="E24" s="1" t="s">
        <v>13</v>
      </c>
      <c r="F24" s="1">
        <v>287</v>
      </c>
      <c r="G24" s="1">
        <v>747</v>
      </c>
      <c r="H24" s="1">
        <f t="shared" si="0"/>
        <v>156.87</v>
      </c>
      <c r="I24" s="1">
        <f t="shared" si="3"/>
        <v>590.13</v>
      </c>
      <c r="J24" s="1">
        <f t="shared" si="2"/>
        <v>123.92729999999999</v>
      </c>
      <c r="K24" s="5">
        <f t="shared" si="4"/>
        <v>6.8238449999999995</v>
      </c>
      <c r="N24" s="5"/>
      <c r="S24" s="5"/>
      <c r="T24" s="5"/>
      <c r="U24" s="5"/>
      <c r="V24" s="5"/>
      <c r="AE24" s="5"/>
    </row>
    <row r="25" spans="1:31" ht="17" x14ac:dyDescent="0.2">
      <c r="A25" s="1">
        <v>199</v>
      </c>
      <c r="B25" s="1" t="s">
        <v>33</v>
      </c>
      <c r="C25">
        <v>255</v>
      </c>
      <c r="D25">
        <v>380</v>
      </c>
      <c r="E25" s="1" t="s">
        <v>13</v>
      </c>
      <c r="F25" s="1">
        <v>207</v>
      </c>
      <c r="G25" s="1">
        <v>518</v>
      </c>
      <c r="H25" s="1">
        <f t="shared" si="0"/>
        <v>108.78</v>
      </c>
      <c r="I25" s="1">
        <f t="shared" si="3"/>
        <v>409.22</v>
      </c>
      <c r="J25" s="1">
        <f t="shared" si="2"/>
        <v>85.936199999999999</v>
      </c>
      <c r="K25" s="5">
        <f t="shared" si="4"/>
        <v>4.7319299999999993</v>
      </c>
      <c r="N25" s="5"/>
      <c r="S25" s="5"/>
      <c r="T25" s="5"/>
      <c r="U25" s="5"/>
      <c r="V25" s="5"/>
      <c r="AE25" s="5"/>
    </row>
    <row r="26" spans="1:31" ht="17" x14ac:dyDescent="0.2">
      <c r="A26" s="1">
        <v>993</v>
      </c>
      <c r="B26" s="1" t="s">
        <v>34</v>
      </c>
      <c r="C26">
        <v>230</v>
      </c>
      <c r="D26">
        <v>270</v>
      </c>
      <c r="E26" s="1" t="s">
        <v>13</v>
      </c>
      <c r="F26" s="1">
        <v>106</v>
      </c>
      <c r="G26" s="1">
        <v>265</v>
      </c>
      <c r="H26" s="1">
        <f t="shared" si="0"/>
        <v>55.65</v>
      </c>
      <c r="I26" s="1">
        <f t="shared" si="3"/>
        <v>209.35000000000002</v>
      </c>
      <c r="J26" s="1">
        <f t="shared" si="2"/>
        <v>43.963500000000003</v>
      </c>
      <c r="K26" s="5">
        <f t="shared" si="4"/>
        <v>2.4207749999999995</v>
      </c>
      <c r="N26" s="5"/>
      <c r="S26" s="5"/>
      <c r="T26" s="5"/>
      <c r="U26" s="5"/>
      <c r="V26" s="5"/>
      <c r="AE26" s="5"/>
    </row>
    <row r="27" spans="1:31" ht="17" x14ac:dyDescent="0.2">
      <c r="A27" s="1">
        <v>232</v>
      </c>
      <c r="B27" s="1" t="s">
        <v>35</v>
      </c>
      <c r="C27">
        <v>335</v>
      </c>
      <c r="D27">
        <v>285</v>
      </c>
      <c r="E27" s="1" t="s">
        <v>13</v>
      </c>
      <c r="F27" s="1">
        <v>33</v>
      </c>
      <c r="G27" s="1">
        <v>83</v>
      </c>
      <c r="H27" s="1">
        <f t="shared" si="0"/>
        <v>17.43</v>
      </c>
      <c r="I27" s="1">
        <f t="shared" si="3"/>
        <v>65.570000000000007</v>
      </c>
      <c r="J27" s="1">
        <f t="shared" si="2"/>
        <v>13.7697</v>
      </c>
      <c r="K27" s="5">
        <f t="shared" si="4"/>
        <v>0.75820499999999991</v>
      </c>
      <c r="N27" s="5"/>
      <c r="S27" s="5"/>
      <c r="T27" s="5"/>
      <c r="U27" s="5"/>
      <c r="V27" s="5"/>
      <c r="AE27" s="5"/>
    </row>
    <row r="28" spans="1:31" ht="17" x14ac:dyDescent="0.2">
      <c r="A28" s="1">
        <v>3223</v>
      </c>
      <c r="B28" s="1" t="s">
        <v>36</v>
      </c>
      <c r="C28">
        <v>175</v>
      </c>
      <c r="D28">
        <v>130</v>
      </c>
      <c r="E28" s="1" t="s">
        <v>13</v>
      </c>
      <c r="F28" s="1">
        <v>238</v>
      </c>
      <c r="G28" s="1">
        <v>595</v>
      </c>
      <c r="H28" s="1">
        <f t="shared" si="0"/>
        <v>124.94999999999999</v>
      </c>
      <c r="I28" s="1">
        <f t="shared" si="3"/>
        <v>470.05</v>
      </c>
      <c r="J28" s="1">
        <f t="shared" si="2"/>
        <v>98.710499999999996</v>
      </c>
      <c r="K28" s="5">
        <f t="shared" si="4"/>
        <v>5.4353249999999989</v>
      </c>
      <c r="N28" s="5"/>
      <c r="S28" s="5"/>
      <c r="T28" s="5"/>
      <c r="U28" s="5"/>
      <c r="V28" s="5"/>
      <c r="AE28" s="5"/>
    </row>
    <row r="29" spans="1:31" ht="17" x14ac:dyDescent="0.2">
      <c r="A29" s="1">
        <v>3233</v>
      </c>
      <c r="B29" s="1" t="s">
        <v>37</v>
      </c>
      <c r="C29">
        <v>290</v>
      </c>
      <c r="D29">
        <v>155</v>
      </c>
      <c r="E29" s="1" t="s">
        <v>13</v>
      </c>
      <c r="F29" s="1">
        <v>127</v>
      </c>
      <c r="G29" s="1">
        <v>318</v>
      </c>
      <c r="H29" s="1">
        <f t="shared" si="0"/>
        <v>66.78</v>
      </c>
      <c r="I29" s="1">
        <f t="shared" si="3"/>
        <v>251.22</v>
      </c>
      <c r="J29" s="1">
        <f t="shared" si="2"/>
        <v>52.7562</v>
      </c>
      <c r="K29" s="5">
        <f t="shared" si="4"/>
        <v>2.9049299999999998</v>
      </c>
      <c r="N29" s="5"/>
      <c r="S29" s="5"/>
      <c r="T29" s="5"/>
      <c r="U29" s="5"/>
      <c r="V29" s="5"/>
      <c r="AE29" s="5"/>
    </row>
    <row r="30" spans="1:31" ht="17" x14ac:dyDescent="0.2">
      <c r="A30" s="1">
        <v>234</v>
      </c>
      <c r="B30" s="1" t="s">
        <v>38</v>
      </c>
      <c r="C30">
        <v>370</v>
      </c>
      <c r="D30">
        <v>130</v>
      </c>
      <c r="E30" s="1" t="s">
        <v>13</v>
      </c>
      <c r="F30" s="1">
        <v>72</v>
      </c>
      <c r="G30" s="1">
        <v>180</v>
      </c>
      <c r="H30" s="1">
        <f t="shared" si="0"/>
        <v>37.799999999999997</v>
      </c>
      <c r="I30" s="1">
        <f t="shared" si="3"/>
        <v>142.20000000000002</v>
      </c>
      <c r="J30" s="1">
        <f t="shared" si="2"/>
        <v>29.862000000000002</v>
      </c>
      <c r="K30" s="5">
        <f t="shared" si="4"/>
        <v>1.6442999999999997</v>
      </c>
      <c r="N30" s="5"/>
      <c r="S30" s="5"/>
      <c r="T30" s="5"/>
      <c r="U30" s="5"/>
      <c r="V30" s="5"/>
      <c r="AE30" s="5"/>
    </row>
    <row r="31" spans="1:31" ht="17" x14ac:dyDescent="0.2">
      <c r="A31" s="1">
        <v>32321</v>
      </c>
      <c r="B31" s="1" t="s">
        <v>39</v>
      </c>
      <c r="C31">
        <v>180</v>
      </c>
      <c r="D31">
        <v>0</v>
      </c>
      <c r="E31" s="1" t="s">
        <v>13</v>
      </c>
      <c r="F31" s="1">
        <v>204</v>
      </c>
      <c r="G31" s="1">
        <v>510</v>
      </c>
      <c r="H31" s="1">
        <f t="shared" si="0"/>
        <v>107.1</v>
      </c>
      <c r="I31" s="1">
        <f t="shared" si="3"/>
        <v>402.90000000000003</v>
      </c>
      <c r="J31" s="1">
        <f t="shared" si="2"/>
        <v>84.609000000000009</v>
      </c>
      <c r="K31" s="5">
        <f t="shared" si="4"/>
        <v>4.6588499999999993</v>
      </c>
      <c r="N31" s="5"/>
      <c r="S31" s="5"/>
      <c r="T31" s="5"/>
      <c r="U31" s="5"/>
      <c r="V31" s="5"/>
      <c r="AE31" s="5"/>
    </row>
    <row r="32" spans="1:31" ht="17" x14ac:dyDescent="0.2">
      <c r="A32" s="1">
        <v>3243</v>
      </c>
      <c r="B32" s="1" t="s">
        <v>40</v>
      </c>
      <c r="C32">
        <v>320</v>
      </c>
      <c r="D32">
        <v>50</v>
      </c>
      <c r="E32" s="1" t="s">
        <v>13</v>
      </c>
      <c r="F32" s="1">
        <v>128</v>
      </c>
      <c r="G32" s="1">
        <v>320</v>
      </c>
      <c r="H32" s="1">
        <f t="shared" si="0"/>
        <v>67.2</v>
      </c>
      <c r="I32" s="1">
        <f t="shared" si="3"/>
        <v>252.8</v>
      </c>
      <c r="J32" s="1">
        <f t="shared" si="2"/>
        <v>53.088000000000001</v>
      </c>
      <c r="K32" s="5">
        <f t="shared" si="4"/>
        <v>2.9232</v>
      </c>
      <c r="N32" s="5"/>
      <c r="S32" s="5"/>
      <c r="T32" s="5"/>
      <c r="U32" s="5"/>
      <c r="V32" s="5"/>
      <c r="AE32" s="5"/>
    </row>
    <row r="33" spans="1:31" ht="17" x14ac:dyDescent="0.2">
      <c r="A33" s="1">
        <v>2398</v>
      </c>
      <c r="B33" s="1" t="s">
        <v>41</v>
      </c>
      <c r="C33">
        <v>380</v>
      </c>
      <c r="D33">
        <v>-40</v>
      </c>
      <c r="E33" s="1" t="s">
        <v>13</v>
      </c>
      <c r="F33" s="1">
        <v>74</v>
      </c>
      <c r="G33" s="1">
        <v>185</v>
      </c>
      <c r="H33" s="1">
        <f t="shared" si="0"/>
        <v>38.85</v>
      </c>
      <c r="I33" s="1">
        <f t="shared" si="3"/>
        <v>146.15</v>
      </c>
      <c r="J33" s="1">
        <f t="shared" si="2"/>
        <v>30.691500000000001</v>
      </c>
      <c r="K33" s="5">
        <f t="shared" si="4"/>
        <v>1.6899749999999998</v>
      </c>
      <c r="N33" s="5"/>
      <c r="S33" s="5"/>
      <c r="T33" s="5"/>
      <c r="U33" s="5"/>
      <c r="V33" s="5"/>
      <c r="AE33" s="5"/>
    </row>
    <row r="34" spans="1:31" ht="17" x14ac:dyDescent="0.2">
      <c r="A34" s="1">
        <v>2343</v>
      </c>
      <c r="B34" s="1" t="s">
        <v>42</v>
      </c>
      <c r="C34">
        <v>235</v>
      </c>
      <c r="D34">
        <v>-200</v>
      </c>
      <c r="E34" s="1" t="s">
        <v>13</v>
      </c>
      <c r="F34" s="1">
        <v>134</v>
      </c>
      <c r="G34" s="1">
        <v>335</v>
      </c>
      <c r="H34" s="1">
        <f t="shared" si="0"/>
        <v>70.349999999999994</v>
      </c>
      <c r="I34" s="1">
        <f t="shared" si="3"/>
        <v>264.65000000000003</v>
      </c>
      <c r="J34" s="1">
        <f t="shared" si="2"/>
        <v>55.576500000000003</v>
      </c>
      <c r="K34" s="5">
        <f t="shared" si="4"/>
        <v>3.0602249999999995</v>
      </c>
      <c r="N34" s="5"/>
      <c r="S34" s="5"/>
      <c r="T34" s="5"/>
      <c r="U34" s="5"/>
      <c r="V34" s="5"/>
      <c r="AE34" s="5"/>
    </row>
    <row r="35" spans="1:31" ht="17" x14ac:dyDescent="0.2">
      <c r="A35" s="1">
        <v>2387</v>
      </c>
      <c r="B35" s="1" t="s">
        <v>43</v>
      </c>
      <c r="C35">
        <v>300</v>
      </c>
      <c r="D35">
        <v>-380</v>
      </c>
      <c r="E35" s="1" t="s">
        <v>13</v>
      </c>
      <c r="F35" s="1">
        <v>301</v>
      </c>
      <c r="G35" s="1">
        <v>753</v>
      </c>
      <c r="H35" s="1">
        <f t="shared" si="0"/>
        <v>158.13</v>
      </c>
      <c r="I35" s="1">
        <f t="shared" si="3"/>
        <v>594.87</v>
      </c>
      <c r="J35" s="1">
        <f t="shared" si="2"/>
        <v>124.92269999999999</v>
      </c>
      <c r="K35" s="5">
        <f t="shared" si="4"/>
        <v>6.8786549999999993</v>
      </c>
      <c r="N35" s="5"/>
      <c r="S35" s="5"/>
      <c r="T35" s="5"/>
      <c r="U35" s="5"/>
      <c r="V35" s="5"/>
      <c r="AE35" s="5"/>
    </row>
    <row r="36" spans="1:31" ht="17" x14ac:dyDescent="0.2">
      <c r="A36" s="1">
        <v>82765</v>
      </c>
      <c r="B36" s="1" t="s">
        <v>44</v>
      </c>
      <c r="C36">
        <v>430</v>
      </c>
      <c r="D36">
        <v>-335</v>
      </c>
      <c r="E36" s="1" t="s">
        <v>13</v>
      </c>
      <c r="F36" s="1">
        <v>253</v>
      </c>
      <c r="G36" s="1">
        <v>633</v>
      </c>
      <c r="H36" s="1">
        <f t="shared" si="0"/>
        <v>132.93</v>
      </c>
      <c r="I36" s="1">
        <f t="shared" si="3"/>
        <v>500.07000000000005</v>
      </c>
      <c r="J36" s="1">
        <f t="shared" si="2"/>
        <v>105.0147</v>
      </c>
      <c r="K36" s="5">
        <f t="shared" si="4"/>
        <v>5.7824549999999997</v>
      </c>
      <c r="N36" s="5"/>
      <c r="S36" s="5"/>
      <c r="T36" s="5"/>
      <c r="U36" s="5"/>
      <c r="V36" s="5"/>
      <c r="AE36" s="5"/>
    </row>
    <row r="37" spans="1:31" ht="17" x14ac:dyDescent="0.2">
      <c r="A37" s="1">
        <v>8785</v>
      </c>
      <c r="B37" s="1" t="s">
        <v>45</v>
      </c>
      <c r="C37">
        <v>330</v>
      </c>
      <c r="D37">
        <v>-525</v>
      </c>
      <c r="E37" s="1" t="s">
        <v>13</v>
      </c>
      <c r="F37" s="1">
        <v>173</v>
      </c>
      <c r="G37" s="1">
        <v>433</v>
      </c>
      <c r="H37" s="1">
        <f t="shared" si="0"/>
        <v>90.929999999999993</v>
      </c>
      <c r="I37" s="1">
        <f t="shared" si="3"/>
        <v>342.07</v>
      </c>
      <c r="J37" s="1">
        <f t="shared" si="2"/>
        <v>71.834699999999998</v>
      </c>
      <c r="K37" s="5">
        <f t="shared" si="4"/>
        <v>3.9554549999999988</v>
      </c>
      <c r="N37" s="5"/>
      <c r="S37" s="5"/>
      <c r="T37" s="5"/>
      <c r="U37" s="5"/>
      <c r="V37" s="5"/>
      <c r="AE37" s="5"/>
    </row>
    <row r="38" spans="1:31" ht="17" x14ac:dyDescent="0.2">
      <c r="A38" s="1">
        <v>211</v>
      </c>
      <c r="B38" s="1" t="s">
        <v>46</v>
      </c>
      <c r="C38">
        <v>450</v>
      </c>
      <c r="D38">
        <v>-500</v>
      </c>
      <c r="E38" s="1" t="s">
        <v>13</v>
      </c>
      <c r="F38" s="1">
        <v>301</v>
      </c>
      <c r="G38" s="1">
        <v>753</v>
      </c>
      <c r="H38" s="1">
        <f t="shared" si="0"/>
        <v>158.13</v>
      </c>
      <c r="I38" s="1">
        <f t="shared" si="3"/>
        <v>594.87</v>
      </c>
      <c r="J38" s="1">
        <f t="shared" si="2"/>
        <v>124.92269999999999</v>
      </c>
      <c r="K38" s="5">
        <f t="shared" si="4"/>
        <v>6.8786549999999993</v>
      </c>
      <c r="N38" s="5"/>
      <c r="S38" s="5"/>
      <c r="T38" s="5"/>
      <c r="U38" s="5"/>
      <c r="V38" s="5"/>
      <c r="AE38" s="5"/>
    </row>
    <row r="39" spans="1:31" ht="17" x14ac:dyDescent="0.2">
      <c r="A39" s="1">
        <v>34532</v>
      </c>
      <c r="B39" s="1" t="s">
        <v>47</v>
      </c>
      <c r="C39">
        <v>10</v>
      </c>
      <c r="D39">
        <v>-480</v>
      </c>
      <c r="E39" s="1" t="s">
        <v>11</v>
      </c>
      <c r="F39" s="1">
        <v>173</v>
      </c>
      <c r="G39" s="1">
        <v>433</v>
      </c>
      <c r="H39" s="1">
        <f t="shared" si="0"/>
        <v>90.929999999999993</v>
      </c>
      <c r="I39" s="1">
        <f t="shared" si="3"/>
        <v>342.07</v>
      </c>
      <c r="J39" s="1">
        <f t="shared" si="2"/>
        <v>71.834699999999998</v>
      </c>
      <c r="K39" s="5">
        <f t="shared" si="4"/>
        <v>3.9554549999999988</v>
      </c>
      <c r="N39" s="5"/>
      <c r="S39" s="5"/>
      <c r="T39" s="5"/>
      <c r="U39" s="5"/>
      <c r="V39" s="5"/>
      <c r="AE39" s="5"/>
    </row>
    <row r="40" spans="1:31" ht="17" x14ac:dyDescent="0.2">
      <c r="A40" s="1">
        <v>238734</v>
      </c>
      <c r="B40" s="1" t="s">
        <v>48</v>
      </c>
      <c r="C40">
        <v>160</v>
      </c>
      <c r="D40">
        <v>-440</v>
      </c>
      <c r="E40" s="1" t="s">
        <v>11</v>
      </c>
      <c r="F40" s="1">
        <v>364</v>
      </c>
      <c r="G40" s="1">
        <v>910</v>
      </c>
      <c r="H40" s="1">
        <f t="shared" si="0"/>
        <v>191.1</v>
      </c>
      <c r="I40" s="1">
        <f t="shared" si="3"/>
        <v>718.9</v>
      </c>
      <c r="J40" s="1">
        <f t="shared" si="2"/>
        <v>150.96899999999999</v>
      </c>
      <c r="K40" s="5">
        <f t="shared" si="4"/>
        <v>8.3128499999999992</v>
      </c>
      <c r="N40" s="5"/>
      <c r="S40" s="5"/>
      <c r="T40" s="5"/>
      <c r="U40" s="5"/>
      <c r="V40" s="5"/>
      <c r="AE40" s="5"/>
    </row>
    <row r="41" spans="1:31" ht="17" x14ac:dyDescent="0.2">
      <c r="A41" s="1">
        <v>348</v>
      </c>
      <c r="B41" s="1" t="s">
        <v>49</v>
      </c>
      <c r="C41">
        <v>40</v>
      </c>
      <c r="D41">
        <v>-600</v>
      </c>
      <c r="E41" s="1" t="s">
        <v>11</v>
      </c>
      <c r="F41" s="1">
        <v>332</v>
      </c>
      <c r="G41" s="1">
        <v>830</v>
      </c>
      <c r="H41" s="1">
        <f t="shared" si="0"/>
        <v>174.29999999999998</v>
      </c>
      <c r="I41" s="1">
        <f t="shared" si="3"/>
        <v>655.7</v>
      </c>
      <c r="J41" s="1">
        <f t="shared" si="2"/>
        <v>137.697</v>
      </c>
      <c r="K41" s="5">
        <f t="shared" si="4"/>
        <v>7.582049999999998</v>
      </c>
      <c r="N41" s="5"/>
      <c r="S41" s="5"/>
      <c r="T41" s="5"/>
      <c r="U41" s="5"/>
      <c r="V41" s="5"/>
      <c r="AE41" s="5"/>
    </row>
    <row r="42" spans="1:31" ht="17" x14ac:dyDescent="0.2">
      <c r="A42" s="1">
        <v>2389</v>
      </c>
      <c r="B42" s="1" t="s">
        <v>50</v>
      </c>
      <c r="C42">
        <v>200</v>
      </c>
      <c r="D42">
        <v>-565</v>
      </c>
      <c r="E42" s="1" t="s">
        <v>11</v>
      </c>
      <c r="F42" s="1">
        <v>316</v>
      </c>
      <c r="G42" s="1">
        <v>790</v>
      </c>
      <c r="H42" s="1">
        <f t="shared" si="0"/>
        <v>165.9</v>
      </c>
      <c r="I42" s="1">
        <f t="shared" si="3"/>
        <v>624.1</v>
      </c>
      <c r="J42" s="1">
        <f t="shared" si="2"/>
        <v>131.06100000000001</v>
      </c>
      <c r="K42" s="5">
        <f t="shared" si="4"/>
        <v>7.2166499999999996</v>
      </c>
      <c r="N42" s="5"/>
      <c r="S42" s="5"/>
      <c r="T42" s="5"/>
      <c r="U42" s="5"/>
      <c r="V42" s="5"/>
      <c r="AE42" s="5"/>
    </row>
    <row r="43" spans="1:31" ht="17" x14ac:dyDescent="0.2">
      <c r="A43" s="1">
        <v>34132</v>
      </c>
      <c r="B43" s="1" t="s">
        <v>51</v>
      </c>
      <c r="C43">
        <v>435</v>
      </c>
      <c r="D43">
        <v>-660</v>
      </c>
      <c r="E43" s="1" t="s">
        <v>11</v>
      </c>
      <c r="F43" s="1">
        <v>177</v>
      </c>
      <c r="G43" s="1">
        <v>443</v>
      </c>
      <c r="H43" s="1">
        <f t="shared" si="0"/>
        <v>93.03</v>
      </c>
      <c r="I43" s="1">
        <f t="shared" si="3"/>
        <v>349.97</v>
      </c>
      <c r="J43" s="1">
        <f t="shared" si="2"/>
        <v>73.493700000000004</v>
      </c>
      <c r="K43" s="5">
        <f t="shared" si="4"/>
        <v>4.046805</v>
      </c>
      <c r="N43" s="5"/>
      <c r="S43" s="5"/>
      <c r="T43" s="5"/>
      <c r="U43" s="5"/>
      <c r="V43" s="5"/>
      <c r="AE43" s="5"/>
    </row>
    <row r="45" spans="1:31" x14ac:dyDescent="0.2">
      <c r="K45" s="6"/>
      <c r="S45" s="6"/>
    </row>
    <row r="46" spans="1:31" x14ac:dyDescent="0.2">
      <c r="J46"/>
      <c r="K46"/>
      <c r="L46"/>
      <c r="M46"/>
      <c r="N46"/>
      <c r="O46"/>
      <c r="P46"/>
      <c r="Q46"/>
      <c r="R46"/>
      <c r="S46"/>
      <c r="T46"/>
      <c r="U46"/>
    </row>
    <row r="47" spans="1:31" x14ac:dyDescent="0.2">
      <c r="J47"/>
      <c r="K47"/>
      <c r="L47"/>
      <c r="M47"/>
      <c r="N47"/>
      <c r="O47"/>
      <c r="P47"/>
      <c r="Q47"/>
      <c r="R47"/>
      <c r="S47"/>
      <c r="T47"/>
      <c r="U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2026-01-29T14:19:52Z</dcterms:modified>
</cp:coreProperties>
</file>