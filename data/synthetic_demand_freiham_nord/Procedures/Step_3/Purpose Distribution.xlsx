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/input/"/>
    </mc:Choice>
  </mc:AlternateContent>
  <xr:revisionPtr revIDLastSave="0" documentId="13_ncr:1_{63A8C008-BA7D-7B4F-AC69-67C075A319E9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I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H13" i="1" s="1"/>
  <c r="G14" i="1"/>
  <c r="H14" i="1" s="1"/>
  <c r="I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I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G5" i="1"/>
  <c r="H5" i="1" s="1"/>
  <c r="H43" i="1"/>
  <c r="H1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G3" i="1"/>
  <c r="H3" i="1" s="1"/>
  <c r="G4" i="1"/>
  <c r="H4" i="1" s="1"/>
  <c r="G2" i="1"/>
  <c r="H2" i="1" s="1"/>
  <c r="E44" i="1"/>
  <c r="R11" i="1" l="1"/>
  <c r="T11" i="1"/>
  <c r="L11" i="1"/>
  <c r="K11" i="1"/>
  <c r="M11" i="1"/>
  <c r="N11" i="1"/>
  <c r="P11" i="1"/>
  <c r="S11" i="1"/>
  <c r="O11" i="1"/>
  <c r="Q11" i="1"/>
  <c r="Q42" i="1"/>
  <c r="T42" i="1"/>
  <c r="O42" i="1"/>
  <c r="R42" i="1"/>
  <c r="P42" i="1"/>
  <c r="K42" i="1"/>
  <c r="M42" i="1"/>
  <c r="L42" i="1"/>
  <c r="S42" i="1"/>
  <c r="N42" i="1"/>
  <c r="T9" i="1"/>
  <c r="Q9" i="1"/>
  <c r="R9" i="1"/>
  <c r="M9" i="1"/>
  <c r="K9" i="1"/>
  <c r="S9" i="1"/>
  <c r="N9" i="1"/>
  <c r="O9" i="1"/>
  <c r="L9" i="1"/>
  <c r="P9" i="1"/>
  <c r="L12" i="1"/>
  <c r="T12" i="1"/>
  <c r="K12" i="1"/>
  <c r="S12" i="1"/>
  <c r="N12" i="1"/>
  <c r="M12" i="1"/>
  <c r="P12" i="1"/>
  <c r="O12" i="1"/>
  <c r="R12" i="1"/>
  <c r="Q12" i="1"/>
  <c r="N15" i="1"/>
  <c r="O15" i="1"/>
  <c r="M15" i="1"/>
  <c r="P15" i="1"/>
  <c r="R15" i="1"/>
  <c r="Q15" i="1"/>
  <c r="S15" i="1"/>
  <c r="T15" i="1"/>
  <c r="L15" i="1"/>
  <c r="K15" i="1"/>
  <c r="R41" i="1"/>
  <c r="T41" i="1"/>
  <c r="Q41" i="1"/>
  <c r="M41" i="1"/>
  <c r="S41" i="1"/>
  <c r="N41" i="1"/>
  <c r="O41" i="1"/>
  <c r="L41" i="1"/>
  <c r="K41" i="1"/>
  <c r="P41" i="1"/>
  <c r="P40" i="1"/>
  <c r="O40" i="1"/>
  <c r="R40" i="1"/>
  <c r="T40" i="1"/>
  <c r="Q40" i="1"/>
  <c r="M40" i="1"/>
  <c r="S40" i="1"/>
  <c r="L40" i="1"/>
  <c r="K40" i="1"/>
  <c r="N40" i="1"/>
  <c r="T23" i="1"/>
  <c r="N23" i="1"/>
  <c r="M23" i="1"/>
  <c r="P23" i="1"/>
  <c r="O23" i="1"/>
  <c r="R23" i="1"/>
  <c r="Q23" i="1"/>
  <c r="K23" i="1"/>
  <c r="S23" i="1"/>
  <c r="L23" i="1"/>
  <c r="L38" i="1"/>
  <c r="K38" i="1"/>
  <c r="N38" i="1"/>
  <c r="T38" i="1"/>
  <c r="M38" i="1"/>
  <c r="P38" i="1"/>
  <c r="O38" i="1"/>
  <c r="S38" i="1"/>
  <c r="R38" i="1"/>
  <c r="Q38" i="1"/>
  <c r="L37" i="1"/>
  <c r="K37" i="1"/>
  <c r="N37" i="1"/>
  <c r="S37" i="1"/>
  <c r="M37" i="1"/>
  <c r="P37" i="1"/>
  <c r="O37" i="1"/>
  <c r="R37" i="1"/>
  <c r="Q37" i="1"/>
  <c r="T37" i="1"/>
  <c r="N31" i="1"/>
  <c r="M31" i="1"/>
  <c r="P31" i="1"/>
  <c r="O31" i="1"/>
  <c r="K31" i="1"/>
  <c r="R31" i="1"/>
  <c r="Q31" i="1"/>
  <c r="T31" i="1"/>
  <c r="L31" i="1"/>
  <c r="S31" i="1"/>
  <c r="L14" i="1"/>
  <c r="K14" i="1"/>
  <c r="N14" i="1"/>
  <c r="M14" i="1"/>
  <c r="P14" i="1"/>
  <c r="O14" i="1"/>
  <c r="T14" i="1"/>
  <c r="R14" i="1"/>
  <c r="Q14" i="1"/>
  <c r="S14" i="1"/>
  <c r="T43" i="1"/>
  <c r="L43" i="1"/>
  <c r="K43" i="1"/>
  <c r="M43" i="1"/>
  <c r="N43" i="1"/>
  <c r="R43" i="1"/>
  <c r="P43" i="1"/>
  <c r="S43" i="1"/>
  <c r="O43" i="1"/>
  <c r="Q43" i="1"/>
  <c r="L5" i="1"/>
  <c r="N5" i="1"/>
  <c r="M5" i="1"/>
  <c r="R5" i="1"/>
  <c r="P5" i="1"/>
  <c r="O5" i="1"/>
  <c r="S5" i="1"/>
  <c r="Q5" i="1"/>
  <c r="K5" i="1"/>
  <c r="T27" i="1"/>
  <c r="R27" i="1"/>
  <c r="L27" i="1"/>
  <c r="K27" i="1"/>
  <c r="N27" i="1"/>
  <c r="M27" i="1"/>
  <c r="P27" i="1"/>
  <c r="S27" i="1"/>
  <c r="O27" i="1"/>
  <c r="Q27" i="1"/>
  <c r="Q26" i="1"/>
  <c r="T26" i="1"/>
  <c r="K26" i="1"/>
  <c r="R26" i="1"/>
  <c r="M26" i="1"/>
  <c r="P26" i="1"/>
  <c r="L26" i="1"/>
  <c r="S26" i="1"/>
  <c r="N26" i="1"/>
  <c r="O26" i="1"/>
  <c r="P24" i="1"/>
  <c r="O24" i="1"/>
  <c r="T24" i="1"/>
  <c r="R24" i="1"/>
  <c r="K24" i="1"/>
  <c r="Q24" i="1"/>
  <c r="L24" i="1"/>
  <c r="S24" i="1"/>
  <c r="M24" i="1"/>
  <c r="N24" i="1"/>
  <c r="T39" i="1"/>
  <c r="N39" i="1"/>
  <c r="M39" i="1"/>
  <c r="O39" i="1"/>
  <c r="P39" i="1"/>
  <c r="R39" i="1"/>
  <c r="Q39" i="1"/>
  <c r="S39" i="1"/>
  <c r="K39" i="1"/>
  <c r="L39" i="1"/>
  <c r="L22" i="1"/>
  <c r="N22" i="1"/>
  <c r="K22" i="1"/>
  <c r="M22" i="1"/>
  <c r="P22" i="1"/>
  <c r="O22" i="1"/>
  <c r="S22" i="1"/>
  <c r="R22" i="1"/>
  <c r="Q22" i="1"/>
  <c r="T22" i="1"/>
  <c r="L21" i="1"/>
  <c r="K21" i="1"/>
  <c r="N21" i="1"/>
  <c r="S21" i="1"/>
  <c r="M21" i="1"/>
  <c r="P21" i="1"/>
  <c r="O21" i="1"/>
  <c r="R21" i="1"/>
  <c r="Q21" i="1"/>
  <c r="T21" i="1"/>
  <c r="S17" i="1"/>
  <c r="R17" i="1"/>
  <c r="Q17" i="1"/>
  <c r="K17" i="1"/>
  <c r="N17" i="1"/>
  <c r="T17" i="1"/>
  <c r="L17" i="1"/>
  <c r="M17" i="1"/>
  <c r="O17" i="1"/>
  <c r="P17" i="1"/>
  <c r="L30" i="1"/>
  <c r="K30" i="1"/>
  <c r="N30" i="1"/>
  <c r="M30" i="1"/>
  <c r="P30" i="1"/>
  <c r="O30" i="1"/>
  <c r="T30" i="1"/>
  <c r="R30" i="1"/>
  <c r="Q30" i="1"/>
  <c r="S30" i="1"/>
  <c r="L29" i="1"/>
  <c r="K29" i="1"/>
  <c r="N29" i="1"/>
  <c r="M29" i="1"/>
  <c r="T29" i="1"/>
  <c r="P29" i="1"/>
  <c r="O29" i="1"/>
  <c r="S29" i="1"/>
  <c r="R29" i="1"/>
  <c r="Q29" i="1"/>
  <c r="L13" i="1"/>
  <c r="N13" i="1"/>
  <c r="K13" i="1"/>
  <c r="M13" i="1"/>
  <c r="T13" i="1"/>
  <c r="P13" i="1"/>
  <c r="R13" i="1"/>
  <c r="O13" i="1"/>
  <c r="Q13" i="1"/>
  <c r="S13" i="1"/>
  <c r="L28" i="1"/>
  <c r="T28" i="1"/>
  <c r="K28" i="1"/>
  <c r="N28" i="1"/>
  <c r="S28" i="1"/>
  <c r="M28" i="1"/>
  <c r="O28" i="1"/>
  <c r="P28" i="1"/>
  <c r="Q28" i="1"/>
  <c r="R28" i="1"/>
  <c r="Q10" i="1"/>
  <c r="T10" i="1"/>
  <c r="M10" i="1"/>
  <c r="K10" i="1"/>
  <c r="O10" i="1"/>
  <c r="P10" i="1"/>
  <c r="R10" i="1"/>
  <c r="L10" i="1"/>
  <c r="S10" i="1"/>
  <c r="N10" i="1"/>
  <c r="R25" i="1"/>
  <c r="T25" i="1"/>
  <c r="Q25" i="1"/>
  <c r="N25" i="1"/>
  <c r="S25" i="1"/>
  <c r="K25" i="1"/>
  <c r="M25" i="1"/>
  <c r="L25" i="1"/>
  <c r="P25" i="1"/>
  <c r="O25" i="1"/>
  <c r="P8" i="1"/>
  <c r="T8" i="1"/>
  <c r="O8" i="1"/>
  <c r="R8" i="1"/>
  <c r="Q8" i="1"/>
  <c r="L8" i="1"/>
  <c r="K8" i="1"/>
  <c r="S8" i="1"/>
  <c r="M8" i="1"/>
  <c r="N8" i="1"/>
  <c r="T7" i="1"/>
  <c r="N7" i="1"/>
  <c r="M7" i="1"/>
  <c r="P7" i="1"/>
  <c r="O7" i="1"/>
  <c r="R7" i="1"/>
  <c r="Q7" i="1"/>
  <c r="S7" i="1"/>
  <c r="K7" i="1"/>
  <c r="L7" i="1"/>
  <c r="L6" i="1"/>
  <c r="K6" i="1"/>
  <c r="N6" i="1"/>
  <c r="M6" i="1"/>
  <c r="P6" i="1"/>
  <c r="O6" i="1"/>
  <c r="S6" i="1"/>
  <c r="R6" i="1"/>
  <c r="Q6" i="1"/>
  <c r="T6" i="1"/>
  <c r="L36" i="1"/>
  <c r="S36" i="1"/>
  <c r="K36" i="1"/>
  <c r="N36" i="1"/>
  <c r="M36" i="1"/>
  <c r="P36" i="1"/>
  <c r="O36" i="1"/>
  <c r="Q36" i="1"/>
  <c r="R36" i="1"/>
  <c r="T36" i="1"/>
  <c r="L20" i="1"/>
  <c r="S20" i="1"/>
  <c r="K20" i="1"/>
  <c r="N20" i="1"/>
  <c r="O20" i="1"/>
  <c r="M20" i="1"/>
  <c r="Q20" i="1"/>
  <c r="P20" i="1"/>
  <c r="R20" i="1"/>
  <c r="T20" i="1"/>
  <c r="I30" i="1"/>
  <c r="S35" i="1"/>
  <c r="M35" i="1"/>
  <c r="L35" i="1"/>
  <c r="K35" i="1"/>
  <c r="N35" i="1"/>
  <c r="P35" i="1"/>
  <c r="O35" i="1"/>
  <c r="T35" i="1"/>
  <c r="R35" i="1"/>
  <c r="Q35" i="1"/>
  <c r="S19" i="1"/>
  <c r="L19" i="1"/>
  <c r="M19" i="1"/>
  <c r="R19" i="1"/>
  <c r="K19" i="1"/>
  <c r="N19" i="1"/>
  <c r="P19" i="1"/>
  <c r="O19" i="1"/>
  <c r="T19" i="1"/>
  <c r="Q19" i="1"/>
  <c r="I29" i="1"/>
  <c r="Q34" i="1"/>
  <c r="S34" i="1"/>
  <c r="O34" i="1"/>
  <c r="L34" i="1"/>
  <c r="K34" i="1"/>
  <c r="M34" i="1"/>
  <c r="P34" i="1"/>
  <c r="N34" i="1"/>
  <c r="T34" i="1"/>
  <c r="R34" i="1"/>
  <c r="Q18" i="1"/>
  <c r="S18" i="1"/>
  <c r="O18" i="1"/>
  <c r="K18" i="1"/>
  <c r="L18" i="1"/>
  <c r="N18" i="1"/>
  <c r="M18" i="1"/>
  <c r="P18" i="1"/>
  <c r="R18" i="1"/>
  <c r="T18" i="1"/>
  <c r="Q33" i="1"/>
  <c r="S33" i="1"/>
  <c r="R33" i="1"/>
  <c r="M33" i="1"/>
  <c r="O33" i="1"/>
  <c r="N33" i="1"/>
  <c r="T33" i="1"/>
  <c r="L33" i="1"/>
  <c r="K33" i="1"/>
  <c r="P33" i="1"/>
  <c r="I13" i="1"/>
  <c r="S32" i="1"/>
  <c r="P32" i="1"/>
  <c r="O32" i="1"/>
  <c r="R32" i="1"/>
  <c r="Q32" i="1"/>
  <c r="M32" i="1"/>
  <c r="T32" i="1"/>
  <c r="L32" i="1"/>
  <c r="K32" i="1"/>
  <c r="N32" i="1"/>
  <c r="S16" i="1"/>
  <c r="P16" i="1"/>
  <c r="O16" i="1"/>
  <c r="R16" i="1"/>
  <c r="Q16" i="1"/>
  <c r="K16" i="1"/>
  <c r="T16" i="1"/>
  <c r="M16" i="1"/>
  <c r="L16" i="1"/>
  <c r="N16" i="1"/>
  <c r="I10" i="1"/>
  <c r="J32" i="1"/>
  <c r="J35" i="1"/>
  <c r="J34" i="1"/>
  <c r="J33" i="1"/>
  <c r="J20" i="1"/>
  <c r="I36" i="1"/>
  <c r="J36" i="1"/>
  <c r="J22" i="1"/>
  <c r="I35" i="1"/>
  <c r="J19" i="1"/>
  <c r="I21" i="1"/>
  <c r="I37" i="1"/>
  <c r="I32" i="1"/>
  <c r="I34" i="1"/>
  <c r="J18" i="1"/>
  <c r="J17" i="1"/>
  <c r="I19" i="1"/>
  <c r="J16" i="1"/>
  <c r="I18" i="1"/>
  <c r="I17" i="1"/>
  <c r="I16" i="1"/>
  <c r="J8" i="1"/>
  <c r="I8" i="1"/>
  <c r="J39" i="1"/>
  <c r="I39" i="1"/>
  <c r="J6" i="1"/>
  <c r="I6" i="1"/>
  <c r="I28" i="1"/>
  <c r="J28" i="1"/>
  <c r="J40" i="1"/>
  <c r="I40" i="1"/>
  <c r="J7" i="1"/>
  <c r="I7" i="1"/>
  <c r="J38" i="1"/>
  <c r="I38" i="1"/>
  <c r="J5" i="1"/>
  <c r="I27" i="1"/>
  <c r="J27" i="1"/>
  <c r="I26" i="1"/>
  <c r="J26" i="1"/>
  <c r="J41" i="1"/>
  <c r="I41" i="1"/>
  <c r="J25" i="1"/>
  <c r="I25" i="1"/>
  <c r="I22" i="1"/>
  <c r="J12" i="1"/>
  <c r="I11" i="1"/>
  <c r="I9" i="1"/>
  <c r="J13" i="1"/>
  <c r="I20" i="1"/>
  <c r="J31" i="1"/>
  <c r="I12" i="1"/>
  <c r="I43" i="1"/>
  <c r="J15" i="1"/>
  <c r="J14" i="1"/>
  <c r="J43" i="1"/>
  <c r="F44" i="1"/>
  <c r="I24" i="1"/>
  <c r="J11" i="1"/>
  <c r="J10" i="1"/>
  <c r="J9" i="1"/>
  <c r="J24" i="1"/>
  <c r="I42" i="1"/>
  <c r="J30" i="1"/>
  <c r="I23" i="1"/>
  <c r="J42" i="1"/>
  <c r="J23" i="1"/>
  <c r="J29" i="1"/>
  <c r="I31" i="1"/>
  <c r="I15" i="1"/>
  <c r="J37" i="1"/>
  <c r="J21" i="1"/>
  <c r="H44" i="1"/>
  <c r="G44" i="1"/>
  <c r="K44" i="1" l="1"/>
  <c r="I44" i="1"/>
  <c r="Q44" i="1"/>
  <c r="S44" i="1"/>
  <c r="J44" i="1"/>
  <c r="P44" i="1"/>
  <c r="R44" i="1"/>
  <c r="T44" i="1"/>
  <c r="N44" i="1"/>
  <c r="L44" i="1"/>
  <c r="O44" i="1"/>
  <c r="M44" i="1"/>
</calcChain>
</file>

<file path=xl/sharedStrings.xml><?xml version="1.0" encoding="utf-8"?>
<sst xmlns="http://schemas.openxmlformats.org/spreadsheetml/2006/main" count="131" uniqueCount="89">
  <si>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</si>
  <si>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</si>
  <si>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</si>
  <si>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</si>
  <si>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</si>
  <si>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</si>
  <si>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</si>
  <si>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</si>
  <si>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</si>
  <si>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</si>
  <si>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</si>
  <si>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</si>
  <si>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</si>
  <si>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</si>
  <si>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</si>
  <si>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</si>
  <si>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</si>
  <si>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</si>
  <si>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</si>
  <si>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</si>
  <si>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</si>
  <si>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</si>
  <si>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</si>
  <si>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</si>
  <si>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</si>
  <si>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</si>
  <si>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</si>
  <si>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</si>
  <si>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</si>
  <si>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</si>
  <si>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</si>
  <si>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</si>
  <si>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</si>
  <si>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</si>
  <si>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</si>
  <si>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</si>
  <si>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</si>
  <si>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</si>
  <si>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</si>
  <si>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</si>
  <si>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</si>
  <si>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</si>
  <si>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</si>
  <si>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</si>
  <si>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</si>
  <si>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</si>
  <si>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</si>
  <si>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</si>
  <si>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</si>
  <si>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</si>
  <si>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</si>
  <si>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</si>
  <si>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</si>
  <si>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</si>
  <si>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</si>
  <si>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shopping_inside</t>
  </si>
  <si>
    <t>shopping_outside</t>
  </si>
  <si>
    <t>eduction_inside</t>
  </si>
  <si>
    <t>eduction_outside</t>
  </si>
  <si>
    <t>errands_inside</t>
  </si>
  <si>
    <t>errands_outside</t>
  </si>
  <si>
    <t>leisure_inside</t>
  </si>
  <si>
    <t>leisure_outside</t>
  </si>
  <si>
    <t>accompaniment_inside</t>
  </si>
  <si>
    <t>accompaniment_outside</t>
  </si>
  <si>
    <t>occupation_inside</t>
  </si>
  <si>
    <t>occupation_outside</t>
  </si>
  <si>
    <t>duration_of_activity</t>
  </si>
  <si>
    <t>weight</t>
  </si>
  <si>
    <t>ground floor area centers</t>
  </si>
  <si>
    <t xml:space="preserve">distance to near rail </t>
  </si>
  <si>
    <t>ground floor schools</t>
  </si>
  <si>
    <t>distance and ground floor area</t>
  </si>
  <si>
    <t>ground floor area of commerical buildings</t>
  </si>
  <si>
    <t xml:space="preserve">ground floor area of parks and mixed used area </t>
  </si>
  <si>
    <t>ground floor daycare</t>
  </si>
  <si>
    <t>plan</t>
  </si>
  <si>
    <t>home-rail-wait work time-home</t>
  </si>
  <si>
    <t>home-centers-wait work time-home</t>
  </si>
  <si>
    <t xml:space="preserve">home- shopping time </t>
  </si>
  <si>
    <t>home-school-strudy  time inside-home</t>
  </si>
  <si>
    <t>home-school-strudy  time outside-home</t>
  </si>
  <si>
    <t xml:space="preserve">home- rail-shopping time- home </t>
  </si>
  <si>
    <t xml:space="preserve">home- rail-errands outside time- home </t>
  </si>
  <si>
    <t xml:space="preserve">home- rail-leisure time- home </t>
  </si>
  <si>
    <t>early home-daycar-home evening home-daycar-home</t>
  </si>
  <si>
    <t>early home-rail-daycar time-home evening home-rail-daycar time-home</t>
  </si>
  <si>
    <t xml:space="preserve">home - centers errands time- home </t>
  </si>
  <si>
    <t xml:space="preserve">home - Mixed leisure time- home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</si>
</sst>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  <xf numFmtId="0" fontId="0" fillId="33" borderId="0" xfId="0" applyFill="1" applyAlignment="1">
      <alignment horizontal="justify" vertical="center"/>
    </xf>
    <xf numFmtId="0" fontId="0" fillId="33" borderId="0" xfId="0" applyFill="1" applyAlignment="1">
      <alignment horizontal="justify"/>
    </xf>
    <xf numFmtId="0" fontId="0" fillId="33" borderId="0" xfId="0" applyFill="1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D47"/>
  <sheetViews>
    <sheetView tabSelected="1" zoomScale="75" workbookViewId="0">
      <selection activeCell="I5" sqref="I5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6.83203125" style="1" customWidth="1"/>
    <col min="10" max="10" width="17.33203125" style="1" bestFit="1" customWidth="1"/>
    <col min="11" max="11" width="14" style="1" bestFit="1" customWidth="1"/>
    <col min="12" max="12" width="15.1640625" style="1" bestFit="1" customWidth="1"/>
    <col min="13" max="13" width="16" style="1" customWidth="1"/>
    <col min="14" max="14" width="15.1640625" style="1" bestFit="1" customWidth="1"/>
    <col min="15" max="15" width="13.6640625" style="1" customWidth="1"/>
    <col min="16" max="16" width="14.1640625" style="1" bestFit="1" customWidth="1"/>
    <col min="17" max="17" width="12.33203125" style="1" bestFit="1" customWidth="1"/>
    <col min="18" max="18" width="13.5" style="1" bestFit="1" customWidth="1"/>
    <col min="19" max="19" width="20.1640625" style="8" bestFit="1" customWidth="1"/>
    <col min="20" max="20" width="21.5" style="8" bestFit="1" customWidth="1"/>
    <col min="21" max="21" width="16" style="1" customWidth="1"/>
    <col min="22" max="22" width="15.1640625" style="1" bestFit="1" customWidth="1"/>
    <col min="23" max="23" width="14" style="1" bestFit="1" customWidth="1"/>
    <col min="24" max="24" width="15.1640625" style="1" bestFit="1" customWidth="1"/>
    <col min="25" max="25" width="20.1640625" style="1" bestFit="1" customWidth="1"/>
    <col min="26" max="26" width="21.5" style="1" bestFit="1" customWidth="1"/>
    <col min="27" max="27" width="13" style="1" bestFit="1" customWidth="1"/>
    <col min="28" max="28" width="14.1640625" style="1" bestFit="1" customWidth="1"/>
    <col min="29" max="29" width="12.33203125" style="1" bestFit="1" customWidth="1"/>
    <col min="30" max="30" width="13.5" style="1" bestFit="1" customWidth="1"/>
    <col min="31" max="16384" width="10.83203125" style="1"/>
  </cols>
  <sheetData>
    <row r="1" spans="1:30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 t="s">
        <v>54</v>
      </c>
      <c r="I1" s="2" t="s">
        <v>65</v>
      </c>
      <c r="J1" s="2" t="s">
        <v>66</v>
      </c>
      <c r="K1" s="2" t="s">
        <v>57</v>
      </c>
      <c r="L1" s="2" t="s">
        <v>58</v>
      </c>
      <c r="M1" s="4" t="s">
        <v>55</v>
      </c>
      <c r="N1" s="2" t="s">
        <v>56</v>
      </c>
      <c r="O1" s="2" t="s">
        <v>59</v>
      </c>
      <c r="P1" s="2" t="s">
        <v>60</v>
      </c>
      <c r="Q1" s="2" t="s">
        <v>61</v>
      </c>
      <c r="R1" s="4" t="s">
        <v>62</v>
      </c>
      <c r="S1" s="7" t="s">
        <v>63</v>
      </c>
      <c r="T1" s="7" t="s">
        <v>64</v>
      </c>
      <c r="U1" s="4"/>
      <c r="V1" s="2"/>
      <c r="W1" s="2"/>
      <c r="X1" s="2"/>
      <c r="Y1" s="2"/>
      <c r="Z1" s="2"/>
      <c r="AA1" s="2"/>
      <c r="AB1" s="2"/>
      <c r="AC1" s="2"/>
      <c r="AD1" s="4"/>
    </row>
    <row r="2" spans="1:30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" si="1">D2*0.79</f>
        <v>0</v>
      </c>
      <c r="H2" s="1">
        <f>G2*0.21</f>
        <v>0</v>
      </c>
      <c r="M2" s="5"/>
      <c r="R2" s="5"/>
      <c r="U2" s="5"/>
      <c r="AD2" s="5"/>
    </row>
    <row r="3" spans="1:30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  <c r="H3" s="1">
        <f t="shared" ref="H3:H43" si="2">G3*0.21</f>
        <v>0</v>
      </c>
      <c r="M3" s="5"/>
      <c r="R3" s="5"/>
      <c r="U3" s="5"/>
      <c r="AD3" s="5"/>
    </row>
    <row r="4" spans="1:30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  <c r="M4" s="5"/>
      <c r="R4" s="5"/>
      <c r="U4" s="5"/>
      <c r="AD4" s="5"/>
    </row>
    <row r="5" spans="1:30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 t="shared" si="0"/>
        <v>195.09</v>
      </c>
      <c r="G5" s="1">
        <f>E5*0.79</f>
        <v>733.91000000000008</v>
      </c>
      <c r="H5" s="1">
        <f t="shared" si="2"/>
        <v>154.12110000000001</v>
      </c>
      <c r="I5" s="1">
        <f>H5*32%*15%</f>
        <v>7.3978128000000005</v>
      </c>
      <c r="J5" s="1">
        <f>H5*32%*85%</f>
        <v>41.920939199999999</v>
      </c>
      <c r="K5" s="1">
        <f>$H5*6%*70%</f>
        <v>6.4730861999999991</v>
      </c>
      <c r="L5" s="1">
        <f>$H5*6%*30%</f>
        <v>2.7741797999999998</v>
      </c>
      <c r="M5" s="5">
        <f>$H5*13%*65%</f>
        <v>13.023232950000002</v>
      </c>
      <c r="N5" s="1">
        <f>$H5*13%*35%</f>
        <v>7.0125100500000004</v>
      </c>
      <c r="O5" s="1">
        <f>$H5*11%*15%</f>
        <v>2.5429981500000003</v>
      </c>
      <c r="P5" s="1">
        <f>$H5*11%*65%</f>
        <v>11.019658650000002</v>
      </c>
      <c r="Q5" s="1">
        <f>$H5*29%*65%</f>
        <v>29.05182735</v>
      </c>
      <c r="R5" s="5">
        <f>$H5*29%*15%</f>
        <v>6.7042678499999999</v>
      </c>
      <c r="S5" s="9">
        <f>$H5*8%*90%</f>
        <v>11.096719200000001</v>
      </c>
      <c r="T5" s="9">
        <f>$H5*8%*10%</f>
        <v>1.2329688000000001</v>
      </c>
      <c r="U5" s="5"/>
      <c r="AD5" s="5"/>
    </row>
    <row r="6" spans="1:30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ref="G6:G43" si="3">E6*0.79</f>
        <v>541.15</v>
      </c>
      <c r="H6" s="1">
        <f t="shared" si="2"/>
        <v>113.64149999999999</v>
      </c>
      <c r="I6" s="1">
        <f t="shared" ref="I6:I43" si="4">H6*32%*15%</f>
        <v>5.4547919999999994</v>
      </c>
      <c r="J6" s="1">
        <f t="shared" ref="J6:J43" si="5">H6*32%*85%</f>
        <v>30.910487999999997</v>
      </c>
      <c r="K6" s="1">
        <f t="shared" ref="K6:K43" si="6">$H6*6%*70%</f>
        <v>4.7729429999999997</v>
      </c>
      <c r="L6" s="1">
        <f t="shared" ref="L6:L43" si="7">$H6*6%*30%</f>
        <v>2.045547</v>
      </c>
      <c r="M6" s="5">
        <f t="shared" ref="M6:M43" si="8">$H6*13%*65%</f>
        <v>9.6027067499999994</v>
      </c>
      <c r="N6" s="1">
        <f t="shared" ref="N6:N43" si="9">$H6*13%*35%</f>
        <v>5.1706882499999995</v>
      </c>
      <c r="O6" s="1">
        <f t="shared" ref="O6:O43" si="10">$H6*11%*15%</f>
        <v>1.8750847499999999</v>
      </c>
      <c r="P6" s="1">
        <f t="shared" ref="P6:P43" si="11">$H6*11%*65%</f>
        <v>8.12536725</v>
      </c>
      <c r="Q6" s="1">
        <f t="shared" ref="Q6:Q43" si="12">$H6*29%*65%</f>
        <v>21.421422749999998</v>
      </c>
      <c r="R6" s="5">
        <f t="shared" ref="R6:R43" si="13">$H6*29%*15%</f>
        <v>4.9434052499999988</v>
      </c>
      <c r="S6" s="9">
        <f t="shared" ref="S6:S43" si="14">$H6*8%*90%</f>
        <v>8.182188</v>
      </c>
      <c r="T6" s="9">
        <f t="shared" ref="T6:T43" si="15">$H6*8%*10%</f>
        <v>0.90913200000000005</v>
      </c>
      <c r="U6" s="5"/>
      <c r="AD6" s="5"/>
    </row>
    <row r="7" spans="1:30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3"/>
        <v>560.11</v>
      </c>
      <c r="H7" s="1">
        <f t="shared" si="2"/>
        <v>117.62309999999999</v>
      </c>
      <c r="I7" s="1">
        <f t="shared" si="4"/>
        <v>5.6459087999999999</v>
      </c>
      <c r="J7" s="1">
        <f t="shared" si="5"/>
        <v>31.9934832</v>
      </c>
      <c r="K7" s="1">
        <f t="shared" si="6"/>
        <v>4.940170199999999</v>
      </c>
      <c r="L7" s="1">
        <f t="shared" si="7"/>
        <v>2.1172157999999999</v>
      </c>
      <c r="M7" s="5">
        <f t="shared" si="8"/>
        <v>9.9391519499999994</v>
      </c>
      <c r="N7" s="1">
        <f t="shared" si="9"/>
        <v>5.3518510499999996</v>
      </c>
      <c r="O7" s="1">
        <f t="shared" si="10"/>
        <v>1.9407811499999998</v>
      </c>
      <c r="P7" s="1">
        <f t="shared" si="11"/>
        <v>8.4100516499999998</v>
      </c>
      <c r="Q7" s="1">
        <f t="shared" si="12"/>
        <v>22.17195435</v>
      </c>
      <c r="R7" s="5">
        <f t="shared" si="13"/>
        <v>5.116604849999999</v>
      </c>
      <c r="S7" s="9">
        <f t="shared" si="14"/>
        <v>8.4688632000000013</v>
      </c>
      <c r="T7" s="9">
        <f t="shared" si="15"/>
        <v>0.94098480000000007</v>
      </c>
      <c r="U7" s="5"/>
      <c r="AD7" s="5"/>
    </row>
    <row r="8" spans="1:30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3"/>
        <v>849.25</v>
      </c>
      <c r="H8" s="1">
        <f t="shared" si="2"/>
        <v>178.3425</v>
      </c>
      <c r="I8" s="1">
        <f t="shared" si="4"/>
        <v>8.5604399999999998</v>
      </c>
      <c r="J8" s="1">
        <f t="shared" si="5"/>
        <v>48.509160000000001</v>
      </c>
      <c r="K8" s="1">
        <f t="shared" si="6"/>
        <v>7.490384999999999</v>
      </c>
      <c r="L8" s="1">
        <f t="shared" si="7"/>
        <v>3.2101649999999999</v>
      </c>
      <c r="M8" s="5">
        <f t="shared" si="8"/>
        <v>15.069941250000001</v>
      </c>
      <c r="N8" s="1">
        <f t="shared" si="9"/>
        <v>8.1145837499999995</v>
      </c>
      <c r="O8" s="1">
        <f t="shared" si="10"/>
        <v>2.9426512500000004</v>
      </c>
      <c r="P8" s="1">
        <f t="shared" si="11"/>
        <v>12.751488750000002</v>
      </c>
      <c r="Q8" s="1">
        <f t="shared" si="12"/>
        <v>33.617561250000001</v>
      </c>
      <c r="R8" s="5">
        <f t="shared" si="13"/>
        <v>7.757898749999999</v>
      </c>
      <c r="S8" s="9">
        <f t="shared" si="14"/>
        <v>12.84066</v>
      </c>
      <c r="T8" s="9">
        <f t="shared" si="15"/>
        <v>1.4267400000000001</v>
      </c>
      <c r="U8" s="5"/>
      <c r="AD8" s="5"/>
    </row>
    <row r="9" spans="1:30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3"/>
        <v>699.15</v>
      </c>
      <c r="H9" s="1">
        <f t="shared" si="2"/>
        <v>146.82149999999999</v>
      </c>
      <c r="I9" s="1">
        <f t="shared" si="4"/>
        <v>7.0474319999999988</v>
      </c>
      <c r="J9" s="1">
        <f t="shared" si="5"/>
        <v>39.935447999999994</v>
      </c>
      <c r="K9" s="1">
        <f t="shared" si="6"/>
        <v>6.1665029999999987</v>
      </c>
      <c r="L9" s="1">
        <f t="shared" si="7"/>
        <v>2.6427869999999998</v>
      </c>
      <c r="M9" s="5">
        <f t="shared" si="8"/>
        <v>12.40641675</v>
      </c>
      <c r="N9" s="1">
        <f t="shared" si="9"/>
        <v>6.6803782499999995</v>
      </c>
      <c r="O9" s="1">
        <f t="shared" si="10"/>
        <v>2.4225547499999993</v>
      </c>
      <c r="P9" s="1">
        <f t="shared" si="11"/>
        <v>10.497737249999998</v>
      </c>
      <c r="Q9" s="1">
        <f t="shared" si="12"/>
        <v>27.675852749999997</v>
      </c>
      <c r="R9" s="5">
        <f t="shared" si="13"/>
        <v>6.3867352499999983</v>
      </c>
      <c r="S9" s="9">
        <f t="shared" si="14"/>
        <v>10.571147999999999</v>
      </c>
      <c r="T9" s="9">
        <f t="shared" si="15"/>
        <v>1.1745719999999999</v>
      </c>
      <c r="U9" s="5"/>
      <c r="AD9" s="5"/>
    </row>
    <row r="10" spans="1:30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3"/>
        <v>255.17000000000002</v>
      </c>
      <c r="H10" s="1">
        <f t="shared" si="2"/>
        <v>53.585700000000003</v>
      </c>
      <c r="I10" s="1">
        <f t="shared" si="4"/>
        <v>2.5721136000000002</v>
      </c>
      <c r="J10" s="1">
        <f t="shared" si="5"/>
        <v>14.575310400000001</v>
      </c>
      <c r="K10" s="1">
        <f t="shared" si="6"/>
        <v>2.2505994</v>
      </c>
      <c r="L10" s="1">
        <f t="shared" si="7"/>
        <v>0.96454260000000003</v>
      </c>
      <c r="M10" s="5">
        <f t="shared" si="8"/>
        <v>4.5279916500000006</v>
      </c>
      <c r="N10" s="1">
        <f t="shared" si="9"/>
        <v>2.4381493499999998</v>
      </c>
      <c r="O10" s="1">
        <f t="shared" si="10"/>
        <v>0.88416404999999998</v>
      </c>
      <c r="P10" s="1">
        <f t="shared" si="11"/>
        <v>3.8313775500000005</v>
      </c>
      <c r="Q10" s="1">
        <f t="shared" si="12"/>
        <v>10.10090445</v>
      </c>
      <c r="R10" s="5">
        <f t="shared" si="13"/>
        <v>2.3309779499999999</v>
      </c>
      <c r="S10" s="9">
        <f t="shared" si="14"/>
        <v>3.8581704000000001</v>
      </c>
      <c r="T10" s="9">
        <f t="shared" si="15"/>
        <v>0.42868560000000006</v>
      </c>
      <c r="U10" s="5"/>
      <c r="AD10" s="5"/>
    </row>
    <row r="11" spans="1:30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3"/>
        <v>811.33</v>
      </c>
      <c r="H11" s="1">
        <f t="shared" si="2"/>
        <v>170.3793</v>
      </c>
      <c r="I11" s="1">
        <f t="shared" si="4"/>
        <v>8.1782064000000005</v>
      </c>
      <c r="J11" s="1">
        <f t="shared" si="5"/>
        <v>46.343169600000003</v>
      </c>
      <c r="K11" s="1">
        <f t="shared" si="6"/>
        <v>7.1559305999999987</v>
      </c>
      <c r="L11" s="1">
        <f t="shared" si="7"/>
        <v>3.0668273999999998</v>
      </c>
      <c r="M11" s="5">
        <f t="shared" si="8"/>
        <v>14.397050850000001</v>
      </c>
      <c r="N11" s="1">
        <f t="shared" si="9"/>
        <v>7.7522581500000003</v>
      </c>
      <c r="O11" s="1">
        <f t="shared" si="10"/>
        <v>2.81125845</v>
      </c>
      <c r="P11" s="1">
        <f t="shared" si="11"/>
        <v>12.182119950000001</v>
      </c>
      <c r="Q11" s="1">
        <f t="shared" si="12"/>
        <v>32.116498049999997</v>
      </c>
      <c r="R11" s="5">
        <f t="shared" si="13"/>
        <v>7.4114995499999994</v>
      </c>
      <c r="S11" s="9">
        <f t="shared" si="14"/>
        <v>12.267309600000001</v>
      </c>
      <c r="T11" s="9">
        <f t="shared" si="15"/>
        <v>1.3630344000000001</v>
      </c>
      <c r="U11" s="5"/>
      <c r="AD11" s="5"/>
    </row>
    <row r="12" spans="1:30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3"/>
        <v>597.24</v>
      </c>
      <c r="H12" s="1">
        <f t="shared" si="2"/>
        <v>125.4204</v>
      </c>
      <c r="I12" s="1">
        <f t="shared" si="4"/>
        <v>6.0201792000000003</v>
      </c>
      <c r="J12" s="1">
        <f t="shared" si="5"/>
        <v>34.114348800000002</v>
      </c>
      <c r="K12" s="1">
        <f t="shared" si="6"/>
        <v>5.2676567999999993</v>
      </c>
      <c r="L12" s="1">
        <f t="shared" si="7"/>
        <v>2.2575672</v>
      </c>
      <c r="M12" s="5">
        <f t="shared" si="8"/>
        <v>10.598023800000002</v>
      </c>
      <c r="N12" s="1">
        <f t="shared" si="9"/>
        <v>5.7066281999999999</v>
      </c>
      <c r="O12" s="1">
        <f t="shared" si="10"/>
        <v>2.0694366</v>
      </c>
      <c r="P12" s="1">
        <f t="shared" si="11"/>
        <v>8.9675586000000003</v>
      </c>
      <c r="Q12" s="1">
        <f t="shared" si="12"/>
        <v>23.641745400000001</v>
      </c>
      <c r="R12" s="5">
        <f t="shared" si="13"/>
        <v>5.4557873999999993</v>
      </c>
      <c r="S12" s="9">
        <f t="shared" si="14"/>
        <v>9.0302688000000018</v>
      </c>
      <c r="T12" s="9">
        <f t="shared" si="15"/>
        <v>1.0033632000000001</v>
      </c>
      <c r="U12" s="5"/>
      <c r="AD12" s="5"/>
    </row>
    <row r="13" spans="1:30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3"/>
        <v>671.5</v>
      </c>
      <c r="H13" s="1">
        <f t="shared" si="2"/>
        <v>141.01499999999999</v>
      </c>
      <c r="I13" s="1">
        <f t="shared" si="4"/>
        <v>6.7687199999999992</v>
      </c>
      <c r="J13" s="1">
        <f t="shared" si="5"/>
        <v>38.356079999999992</v>
      </c>
      <c r="K13" s="1">
        <f t="shared" si="6"/>
        <v>5.922629999999999</v>
      </c>
      <c r="L13" s="1">
        <f t="shared" si="7"/>
        <v>2.5382699999999994</v>
      </c>
      <c r="M13" s="5">
        <f t="shared" si="8"/>
        <v>11.915767499999999</v>
      </c>
      <c r="N13" s="1">
        <f t="shared" si="9"/>
        <v>6.4161824999999997</v>
      </c>
      <c r="O13" s="1">
        <f t="shared" si="10"/>
        <v>2.3267474999999997</v>
      </c>
      <c r="P13" s="1">
        <f t="shared" si="11"/>
        <v>10.082572499999999</v>
      </c>
      <c r="Q13" s="1">
        <f t="shared" si="12"/>
        <v>26.581327499999997</v>
      </c>
      <c r="R13" s="5">
        <f t="shared" si="13"/>
        <v>6.134152499999999</v>
      </c>
      <c r="S13" s="9">
        <f t="shared" si="14"/>
        <v>10.153079999999999</v>
      </c>
      <c r="T13" s="9">
        <f t="shared" si="15"/>
        <v>1.1281199999999998</v>
      </c>
      <c r="U13" s="5"/>
      <c r="AD13" s="5"/>
    </row>
    <row r="14" spans="1:30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3"/>
        <v>869</v>
      </c>
      <c r="H14" s="1">
        <f t="shared" si="2"/>
        <v>182.48999999999998</v>
      </c>
      <c r="I14" s="1">
        <f t="shared" si="4"/>
        <v>8.7595199999999984</v>
      </c>
      <c r="J14" s="1">
        <f t="shared" si="5"/>
        <v>49.63727999999999</v>
      </c>
      <c r="K14" s="1">
        <f t="shared" si="6"/>
        <v>7.6645799999999991</v>
      </c>
      <c r="L14" s="1">
        <f t="shared" si="7"/>
        <v>3.2848199999999994</v>
      </c>
      <c r="M14" s="5">
        <f t="shared" si="8"/>
        <v>15.420404999999999</v>
      </c>
      <c r="N14" s="1">
        <f t="shared" si="9"/>
        <v>8.3032949999999985</v>
      </c>
      <c r="O14" s="1">
        <f t="shared" si="10"/>
        <v>3.0110849999999996</v>
      </c>
      <c r="P14" s="1">
        <f t="shared" si="11"/>
        <v>13.048034999999999</v>
      </c>
      <c r="Q14" s="1">
        <f t="shared" si="12"/>
        <v>34.399364999999996</v>
      </c>
      <c r="R14" s="5">
        <f t="shared" si="13"/>
        <v>7.9383149999999985</v>
      </c>
      <c r="S14" s="9">
        <f t="shared" si="14"/>
        <v>13.139279999999998</v>
      </c>
      <c r="T14" s="9">
        <f t="shared" si="15"/>
        <v>1.4599199999999999</v>
      </c>
      <c r="U14" s="5"/>
      <c r="AD14" s="5"/>
    </row>
    <row r="15" spans="1:30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3"/>
        <v>526.93000000000006</v>
      </c>
      <c r="H15" s="1">
        <f t="shared" si="2"/>
        <v>110.65530000000001</v>
      </c>
      <c r="I15" s="1">
        <f t="shared" si="4"/>
        <v>5.3114544000000006</v>
      </c>
      <c r="J15" s="1">
        <f t="shared" si="5"/>
        <v>30.098241600000001</v>
      </c>
      <c r="K15" s="1">
        <f t="shared" si="6"/>
        <v>4.6475226000000003</v>
      </c>
      <c r="L15" s="1">
        <f t="shared" si="7"/>
        <v>1.9917954</v>
      </c>
      <c r="M15" s="5">
        <f t="shared" si="8"/>
        <v>9.3503728500000012</v>
      </c>
      <c r="N15" s="1">
        <f t="shared" si="9"/>
        <v>5.0348161500000002</v>
      </c>
      <c r="O15" s="1">
        <f t="shared" si="10"/>
        <v>1.8258124499999999</v>
      </c>
      <c r="P15" s="1">
        <f t="shared" si="11"/>
        <v>7.9118539500000011</v>
      </c>
      <c r="Q15" s="1">
        <f t="shared" si="12"/>
        <v>20.858524050000003</v>
      </c>
      <c r="R15" s="5">
        <f t="shared" si="13"/>
        <v>4.8135055500000004</v>
      </c>
      <c r="S15" s="9">
        <f t="shared" si="14"/>
        <v>7.9671816000000009</v>
      </c>
      <c r="T15" s="9">
        <f t="shared" si="15"/>
        <v>0.8852424000000001</v>
      </c>
      <c r="U15" s="5"/>
      <c r="AD15" s="5"/>
    </row>
    <row r="16" spans="1:30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3"/>
        <v>1034.9000000000001</v>
      </c>
      <c r="H16" s="1">
        <f t="shared" si="2"/>
        <v>217.32900000000001</v>
      </c>
      <c r="I16" s="1">
        <f t="shared" si="4"/>
        <v>10.431792</v>
      </c>
      <c r="J16" s="1">
        <f t="shared" si="5"/>
        <v>59.113488000000004</v>
      </c>
      <c r="K16" s="1">
        <f t="shared" si="6"/>
        <v>9.1278179999999995</v>
      </c>
      <c r="L16" s="1">
        <f t="shared" si="7"/>
        <v>3.9119219999999997</v>
      </c>
      <c r="M16" s="5">
        <f t="shared" si="8"/>
        <v>18.364300500000002</v>
      </c>
      <c r="N16" s="1">
        <f t="shared" si="9"/>
        <v>9.8884694999999994</v>
      </c>
      <c r="O16" s="1">
        <f t="shared" si="10"/>
        <v>3.5859285000000001</v>
      </c>
      <c r="P16" s="1">
        <f t="shared" si="11"/>
        <v>15.539023500000003</v>
      </c>
      <c r="Q16" s="1">
        <f t="shared" si="12"/>
        <v>40.966516500000004</v>
      </c>
      <c r="R16" s="5">
        <f t="shared" si="13"/>
        <v>9.4538115000000005</v>
      </c>
      <c r="S16" s="9">
        <f t="shared" si="14"/>
        <v>15.647688000000002</v>
      </c>
      <c r="T16" s="9">
        <f t="shared" si="15"/>
        <v>1.7386320000000002</v>
      </c>
      <c r="U16" s="5"/>
      <c r="AD16" s="5"/>
    </row>
    <row r="17" spans="1:30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3"/>
        <v>1099.68</v>
      </c>
      <c r="H17" s="1">
        <f t="shared" si="2"/>
        <v>230.93280000000001</v>
      </c>
      <c r="I17" s="1">
        <f t="shared" si="4"/>
        <v>11.084774400000001</v>
      </c>
      <c r="J17" s="1">
        <f t="shared" si="5"/>
        <v>62.813721600000008</v>
      </c>
      <c r="K17" s="1">
        <f t="shared" si="6"/>
        <v>9.6991776000000005</v>
      </c>
      <c r="L17" s="1">
        <f t="shared" si="7"/>
        <v>4.1567904000000002</v>
      </c>
      <c r="M17" s="5">
        <f t="shared" si="8"/>
        <v>19.513821600000004</v>
      </c>
      <c r="N17" s="1">
        <f t="shared" si="9"/>
        <v>10.5074424</v>
      </c>
      <c r="O17" s="1">
        <f t="shared" si="10"/>
        <v>3.8103911999999998</v>
      </c>
      <c r="P17" s="1">
        <f t="shared" si="11"/>
        <v>16.511695200000002</v>
      </c>
      <c r="Q17" s="1">
        <f t="shared" si="12"/>
        <v>43.530832799999999</v>
      </c>
      <c r="R17" s="5">
        <f t="shared" si="13"/>
        <v>10.045576799999999</v>
      </c>
      <c r="S17" s="9">
        <f t="shared" si="14"/>
        <v>16.627161600000001</v>
      </c>
      <c r="T17" s="9">
        <f t="shared" si="15"/>
        <v>1.8474624000000004</v>
      </c>
      <c r="U17" s="5"/>
      <c r="AD17" s="5"/>
    </row>
    <row r="18" spans="1:30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3"/>
        <v>470.05</v>
      </c>
      <c r="H18" s="1">
        <f t="shared" si="2"/>
        <v>98.710499999999996</v>
      </c>
      <c r="I18" s="1">
        <f t="shared" si="4"/>
        <v>4.7381039999999999</v>
      </c>
      <c r="J18" s="1">
        <f t="shared" si="5"/>
        <v>26.849256</v>
      </c>
      <c r="K18" s="1">
        <f t="shared" si="6"/>
        <v>4.1458409999999999</v>
      </c>
      <c r="L18" s="1">
        <f t="shared" si="7"/>
        <v>1.776789</v>
      </c>
      <c r="M18" s="5">
        <f t="shared" si="8"/>
        <v>8.3410372499999994</v>
      </c>
      <c r="N18" s="1">
        <f t="shared" si="9"/>
        <v>4.4913277499999991</v>
      </c>
      <c r="O18" s="1">
        <f t="shared" si="10"/>
        <v>1.62872325</v>
      </c>
      <c r="P18" s="1">
        <f t="shared" si="11"/>
        <v>7.0578007500000002</v>
      </c>
      <c r="Q18" s="1">
        <f t="shared" si="12"/>
        <v>18.60692925</v>
      </c>
      <c r="R18" s="5">
        <f t="shared" si="13"/>
        <v>4.2939067499999997</v>
      </c>
      <c r="S18" s="9">
        <f t="shared" si="14"/>
        <v>7.1071559999999998</v>
      </c>
      <c r="T18" s="9">
        <f t="shared" si="15"/>
        <v>0.78968400000000005</v>
      </c>
      <c r="U18" s="5"/>
      <c r="AD18" s="5"/>
    </row>
    <row r="19" spans="1:30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3"/>
        <v>944.84</v>
      </c>
      <c r="H19" s="1">
        <f t="shared" si="2"/>
        <v>198.41640000000001</v>
      </c>
      <c r="I19" s="1">
        <f t="shared" si="4"/>
        <v>9.5239872000000005</v>
      </c>
      <c r="J19" s="1">
        <f t="shared" si="5"/>
        <v>53.969260800000001</v>
      </c>
      <c r="K19" s="1">
        <f t="shared" si="6"/>
        <v>8.3334887999999996</v>
      </c>
      <c r="L19" s="1">
        <f t="shared" si="7"/>
        <v>3.5714952000000002</v>
      </c>
      <c r="M19" s="5">
        <f t="shared" si="8"/>
        <v>16.766185800000002</v>
      </c>
      <c r="N19" s="1">
        <f t="shared" si="9"/>
        <v>9.0279462000000006</v>
      </c>
      <c r="O19" s="1">
        <f t="shared" si="10"/>
        <v>3.2738706</v>
      </c>
      <c r="P19" s="1">
        <f t="shared" si="11"/>
        <v>14.186772600000001</v>
      </c>
      <c r="Q19" s="1">
        <f t="shared" si="12"/>
        <v>37.401491400000005</v>
      </c>
      <c r="R19" s="5">
        <f t="shared" si="13"/>
        <v>8.6311134000000003</v>
      </c>
      <c r="S19" s="9">
        <f t="shared" si="14"/>
        <v>14.285980800000001</v>
      </c>
      <c r="T19" s="9">
        <f t="shared" si="15"/>
        <v>1.5873312000000002</v>
      </c>
      <c r="U19" s="5"/>
      <c r="AD19" s="5"/>
    </row>
    <row r="20" spans="1:30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3"/>
        <v>0</v>
      </c>
      <c r="H20" s="1">
        <f t="shared" si="2"/>
        <v>0</v>
      </c>
      <c r="I20" s="1">
        <f t="shared" si="4"/>
        <v>0</v>
      </c>
      <c r="J20" s="1">
        <f t="shared" si="5"/>
        <v>0</v>
      </c>
      <c r="K20" s="1">
        <f t="shared" si="6"/>
        <v>0</v>
      </c>
      <c r="L20" s="1">
        <f t="shared" si="7"/>
        <v>0</v>
      </c>
      <c r="M20" s="5">
        <f t="shared" si="8"/>
        <v>0</v>
      </c>
      <c r="N20" s="1">
        <f t="shared" si="9"/>
        <v>0</v>
      </c>
      <c r="O20" s="1">
        <f t="shared" si="10"/>
        <v>0</v>
      </c>
      <c r="P20" s="1">
        <f t="shared" si="11"/>
        <v>0</v>
      </c>
      <c r="Q20" s="1">
        <f t="shared" si="12"/>
        <v>0</v>
      </c>
      <c r="R20" s="5">
        <f t="shared" si="13"/>
        <v>0</v>
      </c>
      <c r="S20" s="9">
        <f t="shared" si="14"/>
        <v>0</v>
      </c>
      <c r="T20" s="9">
        <f t="shared" si="15"/>
        <v>0</v>
      </c>
      <c r="U20" s="5"/>
      <c r="AD20" s="5"/>
    </row>
    <row r="21" spans="1:30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3"/>
        <v>0</v>
      </c>
      <c r="H21" s="1">
        <f t="shared" si="2"/>
        <v>0</v>
      </c>
      <c r="I21" s="1">
        <f t="shared" si="4"/>
        <v>0</v>
      </c>
      <c r="J21" s="1">
        <f t="shared" si="5"/>
        <v>0</v>
      </c>
      <c r="K21" s="1">
        <f t="shared" si="6"/>
        <v>0</v>
      </c>
      <c r="L21" s="1">
        <f t="shared" si="7"/>
        <v>0</v>
      </c>
      <c r="M21" s="5">
        <f t="shared" si="8"/>
        <v>0</v>
      </c>
      <c r="N21" s="1">
        <f t="shared" si="9"/>
        <v>0</v>
      </c>
      <c r="O21" s="1">
        <f t="shared" si="10"/>
        <v>0</v>
      </c>
      <c r="P21" s="1">
        <f t="shared" si="11"/>
        <v>0</v>
      </c>
      <c r="Q21" s="1">
        <f t="shared" si="12"/>
        <v>0</v>
      </c>
      <c r="R21" s="5">
        <f t="shared" si="13"/>
        <v>0</v>
      </c>
      <c r="S21" s="9">
        <f t="shared" si="14"/>
        <v>0</v>
      </c>
      <c r="T21" s="9">
        <f t="shared" si="15"/>
        <v>0</v>
      </c>
      <c r="U21" s="5"/>
      <c r="AD21" s="5"/>
    </row>
    <row r="22" spans="1:30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3"/>
        <v>858.73</v>
      </c>
      <c r="H22" s="1">
        <f t="shared" si="2"/>
        <v>180.33330000000001</v>
      </c>
      <c r="I22" s="1">
        <f t="shared" si="4"/>
        <v>8.6559983999999996</v>
      </c>
      <c r="J22" s="1">
        <f t="shared" si="5"/>
        <v>49.050657600000001</v>
      </c>
      <c r="K22" s="1">
        <f t="shared" si="6"/>
        <v>7.5739985999999995</v>
      </c>
      <c r="L22" s="1">
        <f t="shared" si="7"/>
        <v>3.2459994000000001</v>
      </c>
      <c r="M22" s="5">
        <f t="shared" si="8"/>
        <v>15.238163850000001</v>
      </c>
      <c r="N22" s="1">
        <f t="shared" si="9"/>
        <v>8.2051651500000009</v>
      </c>
      <c r="O22" s="1">
        <f t="shared" si="10"/>
        <v>2.97549945</v>
      </c>
      <c r="P22" s="1">
        <f t="shared" si="11"/>
        <v>12.893830950000002</v>
      </c>
      <c r="Q22" s="1">
        <f t="shared" si="12"/>
        <v>33.992827049999995</v>
      </c>
      <c r="R22" s="5">
        <f t="shared" si="13"/>
        <v>7.8444985499999991</v>
      </c>
      <c r="S22" s="9">
        <f t="shared" si="14"/>
        <v>12.9839976</v>
      </c>
      <c r="T22" s="9">
        <f t="shared" si="15"/>
        <v>1.4426664000000002</v>
      </c>
      <c r="U22" s="5"/>
      <c r="AD22" s="5"/>
    </row>
    <row r="23" spans="1:30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3"/>
        <v>525.35</v>
      </c>
      <c r="H23" s="1">
        <f t="shared" si="2"/>
        <v>110.3235</v>
      </c>
      <c r="I23" s="1">
        <f t="shared" si="4"/>
        <v>5.295528</v>
      </c>
      <c r="J23" s="1">
        <f t="shared" si="5"/>
        <v>30.007991999999998</v>
      </c>
      <c r="K23" s="1">
        <f t="shared" si="6"/>
        <v>4.6335869999999995</v>
      </c>
      <c r="L23" s="1">
        <f t="shared" si="7"/>
        <v>1.9858229999999997</v>
      </c>
      <c r="M23" s="5">
        <f t="shared" si="8"/>
        <v>9.3223357500000006</v>
      </c>
      <c r="N23" s="1">
        <f t="shared" si="9"/>
        <v>5.0197192499999996</v>
      </c>
      <c r="O23" s="1">
        <f t="shared" si="10"/>
        <v>1.8203377499999998</v>
      </c>
      <c r="P23" s="1">
        <f t="shared" si="11"/>
        <v>7.8881302499999997</v>
      </c>
      <c r="Q23" s="1">
        <f t="shared" si="12"/>
        <v>20.795979750000001</v>
      </c>
      <c r="R23" s="5">
        <f t="shared" si="13"/>
        <v>4.7990722499999992</v>
      </c>
      <c r="S23" s="9">
        <f t="shared" si="14"/>
        <v>7.9432919999999996</v>
      </c>
      <c r="T23" s="9">
        <f t="shared" si="15"/>
        <v>0.88258800000000004</v>
      </c>
      <c r="U23" s="5"/>
      <c r="AD23" s="5"/>
    </row>
    <row r="24" spans="1:30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3"/>
        <v>590.13</v>
      </c>
      <c r="H24" s="1">
        <f t="shared" si="2"/>
        <v>123.92729999999999</v>
      </c>
      <c r="I24" s="1">
        <f t="shared" si="4"/>
        <v>5.9485103999999991</v>
      </c>
      <c r="J24" s="1">
        <f t="shared" si="5"/>
        <v>33.708225599999992</v>
      </c>
      <c r="K24" s="1">
        <f t="shared" si="6"/>
        <v>5.2049465999999986</v>
      </c>
      <c r="L24" s="1">
        <f t="shared" si="7"/>
        <v>2.2306913999999995</v>
      </c>
      <c r="M24" s="5">
        <f t="shared" si="8"/>
        <v>10.47185685</v>
      </c>
      <c r="N24" s="1">
        <f t="shared" si="9"/>
        <v>5.6386921499999989</v>
      </c>
      <c r="O24" s="1">
        <f t="shared" si="10"/>
        <v>2.0448004499999999</v>
      </c>
      <c r="P24" s="1">
        <f t="shared" si="11"/>
        <v>8.860801949999999</v>
      </c>
      <c r="Q24" s="1">
        <f t="shared" si="12"/>
        <v>23.360296049999999</v>
      </c>
      <c r="R24" s="5">
        <f t="shared" si="13"/>
        <v>5.3908375499999996</v>
      </c>
      <c r="S24" s="9">
        <f t="shared" si="14"/>
        <v>8.9227656</v>
      </c>
      <c r="T24" s="9">
        <f t="shared" si="15"/>
        <v>0.99141839999999992</v>
      </c>
      <c r="U24" s="5"/>
      <c r="AD24" s="5"/>
    </row>
    <row r="25" spans="1:30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3"/>
        <v>409.22</v>
      </c>
      <c r="H25" s="1">
        <f t="shared" si="2"/>
        <v>85.936199999999999</v>
      </c>
      <c r="I25" s="1">
        <f t="shared" si="4"/>
        <v>4.1249376</v>
      </c>
      <c r="J25" s="1">
        <f t="shared" si="5"/>
        <v>23.3746464</v>
      </c>
      <c r="K25" s="1">
        <f t="shared" si="6"/>
        <v>3.6093203999999997</v>
      </c>
      <c r="L25" s="1">
        <f t="shared" si="7"/>
        <v>1.5468515999999999</v>
      </c>
      <c r="M25" s="5">
        <f t="shared" si="8"/>
        <v>7.2616089000000006</v>
      </c>
      <c r="N25" s="1">
        <f t="shared" si="9"/>
        <v>3.9100970999999998</v>
      </c>
      <c r="O25" s="1">
        <f t="shared" si="10"/>
        <v>1.4179473</v>
      </c>
      <c r="P25" s="1">
        <f t="shared" si="11"/>
        <v>6.1444383000000009</v>
      </c>
      <c r="Q25" s="1">
        <f t="shared" si="12"/>
        <v>16.1989737</v>
      </c>
      <c r="R25" s="5">
        <f t="shared" si="13"/>
        <v>3.7382247</v>
      </c>
      <c r="S25" s="9">
        <f t="shared" si="14"/>
        <v>6.1874063999999995</v>
      </c>
      <c r="T25" s="9">
        <f t="shared" si="15"/>
        <v>0.68748960000000003</v>
      </c>
      <c r="U25" s="5"/>
      <c r="AD25" s="5"/>
    </row>
    <row r="26" spans="1:30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3"/>
        <v>209.35000000000002</v>
      </c>
      <c r="H26" s="1">
        <f t="shared" si="2"/>
        <v>43.963500000000003</v>
      </c>
      <c r="I26" s="1">
        <f t="shared" si="4"/>
        <v>2.1102480000000003</v>
      </c>
      <c r="J26" s="1">
        <f t="shared" si="5"/>
        <v>11.958072000000001</v>
      </c>
      <c r="K26" s="1">
        <f t="shared" si="6"/>
        <v>1.8464669999999999</v>
      </c>
      <c r="L26" s="1">
        <f t="shared" si="7"/>
        <v>0.79134300000000002</v>
      </c>
      <c r="M26" s="5">
        <f t="shared" si="8"/>
        <v>3.7149157500000007</v>
      </c>
      <c r="N26" s="1">
        <f t="shared" si="9"/>
        <v>2.0003392500000001</v>
      </c>
      <c r="O26" s="1">
        <f t="shared" si="10"/>
        <v>0.72539774999999995</v>
      </c>
      <c r="P26" s="1">
        <f t="shared" si="11"/>
        <v>3.1433902499999999</v>
      </c>
      <c r="Q26" s="1">
        <f t="shared" si="12"/>
        <v>8.2871197500000005</v>
      </c>
      <c r="R26" s="5">
        <f t="shared" si="13"/>
        <v>1.91241225</v>
      </c>
      <c r="S26" s="9">
        <f t="shared" si="14"/>
        <v>3.1653720000000005</v>
      </c>
      <c r="T26" s="9">
        <f t="shared" si="15"/>
        <v>0.35170800000000008</v>
      </c>
      <c r="U26" s="5"/>
      <c r="AD26" s="5"/>
    </row>
    <row r="27" spans="1:30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3"/>
        <v>65.570000000000007</v>
      </c>
      <c r="H27" s="1">
        <f t="shared" si="2"/>
        <v>13.7697</v>
      </c>
      <c r="I27" s="1">
        <f t="shared" si="4"/>
        <v>0.66094560000000002</v>
      </c>
      <c r="J27" s="1">
        <f t="shared" si="5"/>
        <v>3.7453584000000002</v>
      </c>
      <c r="K27" s="1">
        <f t="shared" si="6"/>
        <v>0.57832739999999994</v>
      </c>
      <c r="L27" s="1">
        <f t="shared" si="7"/>
        <v>0.24785459999999998</v>
      </c>
      <c r="M27" s="5">
        <f t="shared" si="8"/>
        <v>1.1635396500000001</v>
      </c>
      <c r="N27" s="1">
        <f t="shared" si="9"/>
        <v>0.62652134999999998</v>
      </c>
      <c r="O27" s="1">
        <f t="shared" si="10"/>
        <v>0.22720004999999999</v>
      </c>
      <c r="P27" s="1">
        <f t="shared" si="11"/>
        <v>0.98453354999999998</v>
      </c>
      <c r="Q27" s="1">
        <f t="shared" si="12"/>
        <v>2.5955884500000002</v>
      </c>
      <c r="R27" s="5">
        <f t="shared" si="13"/>
        <v>0.59898194999999999</v>
      </c>
      <c r="S27" s="9">
        <f t="shared" si="14"/>
        <v>0.99141840000000014</v>
      </c>
      <c r="T27" s="9">
        <f t="shared" si="15"/>
        <v>0.11015760000000002</v>
      </c>
      <c r="U27" s="5"/>
      <c r="AD27" s="5"/>
    </row>
    <row r="28" spans="1:30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3"/>
        <v>470.05</v>
      </c>
      <c r="H28" s="1">
        <f t="shared" si="2"/>
        <v>98.710499999999996</v>
      </c>
      <c r="I28" s="1">
        <f t="shared" si="4"/>
        <v>4.7381039999999999</v>
      </c>
      <c r="J28" s="1">
        <f t="shared" si="5"/>
        <v>26.849256</v>
      </c>
      <c r="K28" s="1">
        <f t="shared" si="6"/>
        <v>4.1458409999999999</v>
      </c>
      <c r="L28" s="1">
        <f t="shared" si="7"/>
        <v>1.776789</v>
      </c>
      <c r="M28" s="5">
        <f t="shared" si="8"/>
        <v>8.3410372499999994</v>
      </c>
      <c r="N28" s="1">
        <f t="shared" si="9"/>
        <v>4.4913277499999991</v>
      </c>
      <c r="O28" s="1">
        <f t="shared" si="10"/>
        <v>1.62872325</v>
      </c>
      <c r="P28" s="1">
        <f t="shared" si="11"/>
        <v>7.0578007500000002</v>
      </c>
      <c r="Q28" s="1">
        <f t="shared" si="12"/>
        <v>18.60692925</v>
      </c>
      <c r="R28" s="5">
        <f t="shared" si="13"/>
        <v>4.2939067499999997</v>
      </c>
      <c r="S28" s="9">
        <f t="shared" si="14"/>
        <v>7.1071559999999998</v>
      </c>
      <c r="T28" s="9">
        <f t="shared" si="15"/>
        <v>0.78968400000000005</v>
      </c>
      <c r="U28" s="5"/>
      <c r="AD28" s="5"/>
    </row>
    <row r="29" spans="1:30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3"/>
        <v>251.22</v>
      </c>
      <c r="H29" s="1">
        <f t="shared" si="2"/>
        <v>52.7562</v>
      </c>
      <c r="I29" s="1">
        <f t="shared" si="4"/>
        <v>2.5322975999999997</v>
      </c>
      <c r="J29" s="1">
        <f t="shared" si="5"/>
        <v>14.3496864</v>
      </c>
      <c r="K29" s="1">
        <f t="shared" si="6"/>
        <v>2.2157603999999997</v>
      </c>
      <c r="L29" s="1">
        <f t="shared" si="7"/>
        <v>0.9496116</v>
      </c>
      <c r="M29" s="5">
        <f t="shared" si="8"/>
        <v>4.4578989</v>
      </c>
      <c r="N29" s="1">
        <f t="shared" si="9"/>
        <v>2.4004070999999998</v>
      </c>
      <c r="O29" s="1">
        <f t="shared" si="10"/>
        <v>0.8704772999999999</v>
      </c>
      <c r="P29" s="1">
        <f t="shared" si="11"/>
        <v>3.7720682999999999</v>
      </c>
      <c r="Q29" s="1">
        <f t="shared" si="12"/>
        <v>9.9445436999999988</v>
      </c>
      <c r="R29" s="5">
        <f t="shared" si="13"/>
        <v>2.2948946999999995</v>
      </c>
      <c r="S29" s="9">
        <f t="shared" si="14"/>
        <v>3.7984464</v>
      </c>
      <c r="T29" s="9">
        <f t="shared" si="15"/>
        <v>0.42204960000000002</v>
      </c>
      <c r="U29" s="5"/>
      <c r="AD29" s="5"/>
    </row>
    <row r="30" spans="1:30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3"/>
        <v>142.20000000000002</v>
      </c>
      <c r="H30" s="1">
        <f t="shared" si="2"/>
        <v>29.862000000000002</v>
      </c>
      <c r="I30" s="1">
        <f t="shared" si="4"/>
        <v>1.4333760000000002</v>
      </c>
      <c r="J30" s="1">
        <f t="shared" si="5"/>
        <v>8.1224640000000008</v>
      </c>
      <c r="K30" s="1">
        <f t="shared" si="6"/>
        <v>1.2542039999999999</v>
      </c>
      <c r="L30" s="1">
        <f t="shared" si="7"/>
        <v>0.53751599999999999</v>
      </c>
      <c r="M30" s="5">
        <f t="shared" si="8"/>
        <v>2.5233390000000004</v>
      </c>
      <c r="N30" s="1">
        <f t="shared" si="9"/>
        <v>1.3587210000000001</v>
      </c>
      <c r="O30" s="1">
        <f t="shared" si="10"/>
        <v>0.49272300000000002</v>
      </c>
      <c r="P30" s="1">
        <f t="shared" si="11"/>
        <v>2.1351330000000002</v>
      </c>
      <c r="Q30" s="1">
        <f t="shared" si="12"/>
        <v>5.6289869999999995</v>
      </c>
      <c r="R30" s="5">
        <f t="shared" si="13"/>
        <v>1.2989969999999997</v>
      </c>
      <c r="S30" s="9">
        <f t="shared" si="14"/>
        <v>2.1500640000000004</v>
      </c>
      <c r="T30" s="9">
        <f t="shared" si="15"/>
        <v>0.23889600000000005</v>
      </c>
      <c r="U30" s="5"/>
      <c r="AD30" s="5"/>
    </row>
    <row r="31" spans="1:30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3"/>
        <v>402.90000000000003</v>
      </c>
      <c r="H31" s="1">
        <f t="shared" si="2"/>
        <v>84.609000000000009</v>
      </c>
      <c r="I31" s="1">
        <f t="shared" si="4"/>
        <v>4.0612320000000004</v>
      </c>
      <c r="J31" s="1">
        <f t="shared" si="5"/>
        <v>23.013648000000003</v>
      </c>
      <c r="K31" s="1">
        <f t="shared" si="6"/>
        <v>3.5535779999999999</v>
      </c>
      <c r="L31" s="1">
        <f t="shared" si="7"/>
        <v>1.5229620000000001</v>
      </c>
      <c r="M31" s="5">
        <f t="shared" si="8"/>
        <v>7.1494605000000009</v>
      </c>
      <c r="N31" s="1">
        <f t="shared" si="9"/>
        <v>3.8497095000000003</v>
      </c>
      <c r="O31" s="1">
        <f t="shared" si="10"/>
        <v>1.3960485</v>
      </c>
      <c r="P31" s="1">
        <f t="shared" si="11"/>
        <v>6.0495435000000004</v>
      </c>
      <c r="Q31" s="1">
        <f t="shared" si="12"/>
        <v>15.9487965</v>
      </c>
      <c r="R31" s="5">
        <f t="shared" si="13"/>
        <v>3.6804914999999996</v>
      </c>
      <c r="S31" s="9">
        <f t="shared" si="14"/>
        <v>6.0918480000000006</v>
      </c>
      <c r="T31" s="9">
        <f t="shared" si="15"/>
        <v>0.67687200000000014</v>
      </c>
      <c r="U31" s="5"/>
      <c r="AD31" s="5"/>
    </row>
    <row r="32" spans="1:30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3"/>
        <v>252.8</v>
      </c>
      <c r="H32" s="1">
        <f t="shared" si="2"/>
        <v>53.088000000000001</v>
      </c>
      <c r="I32" s="1">
        <f t="shared" si="4"/>
        <v>2.5482239999999998</v>
      </c>
      <c r="J32" s="1">
        <f t="shared" si="5"/>
        <v>14.439935999999999</v>
      </c>
      <c r="K32" s="1">
        <f t="shared" si="6"/>
        <v>2.2296960000000001</v>
      </c>
      <c r="L32" s="1">
        <f t="shared" si="7"/>
        <v>0.95558399999999999</v>
      </c>
      <c r="M32" s="5">
        <f t="shared" si="8"/>
        <v>4.4859360000000006</v>
      </c>
      <c r="N32" s="1">
        <f t="shared" si="9"/>
        <v>2.4155039999999999</v>
      </c>
      <c r="O32" s="1">
        <f t="shared" si="10"/>
        <v>0.87595200000000006</v>
      </c>
      <c r="P32" s="1">
        <f t="shared" si="11"/>
        <v>3.7957920000000005</v>
      </c>
      <c r="Q32" s="1">
        <f t="shared" si="12"/>
        <v>10.007088</v>
      </c>
      <c r="R32" s="5">
        <f t="shared" si="13"/>
        <v>2.3093279999999998</v>
      </c>
      <c r="S32" s="9">
        <f t="shared" si="14"/>
        <v>3.8223360000000004</v>
      </c>
      <c r="T32" s="9">
        <f t="shared" si="15"/>
        <v>0.42470400000000003</v>
      </c>
      <c r="U32" s="5"/>
      <c r="AD32" s="5"/>
    </row>
    <row r="33" spans="1:30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3"/>
        <v>146.15</v>
      </c>
      <c r="H33" s="1">
        <f t="shared" si="2"/>
        <v>30.691500000000001</v>
      </c>
      <c r="I33" s="1">
        <f t="shared" si="4"/>
        <v>1.4731919999999998</v>
      </c>
      <c r="J33" s="1">
        <f t="shared" si="5"/>
        <v>8.3480879999999988</v>
      </c>
      <c r="K33" s="1">
        <f t="shared" si="6"/>
        <v>1.2890429999999999</v>
      </c>
      <c r="L33" s="1">
        <f t="shared" si="7"/>
        <v>0.55244700000000002</v>
      </c>
      <c r="M33" s="5">
        <f t="shared" si="8"/>
        <v>2.5934317500000001</v>
      </c>
      <c r="N33" s="1">
        <f t="shared" si="9"/>
        <v>1.39646325</v>
      </c>
      <c r="O33" s="1">
        <f t="shared" si="10"/>
        <v>0.50640974999999999</v>
      </c>
      <c r="P33" s="1">
        <f t="shared" si="11"/>
        <v>2.1944422500000003</v>
      </c>
      <c r="Q33" s="1">
        <f t="shared" si="12"/>
        <v>5.7853477499999997</v>
      </c>
      <c r="R33" s="5">
        <f t="shared" si="13"/>
        <v>1.3350802499999999</v>
      </c>
      <c r="S33" s="9">
        <f t="shared" si="14"/>
        <v>2.2097880000000001</v>
      </c>
      <c r="T33" s="9">
        <f t="shared" si="15"/>
        <v>0.245532</v>
      </c>
      <c r="U33" s="5"/>
      <c r="AD33" s="5"/>
    </row>
    <row r="34" spans="1:30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3"/>
        <v>264.65000000000003</v>
      </c>
      <c r="H34" s="1">
        <f t="shared" si="2"/>
        <v>55.576500000000003</v>
      </c>
      <c r="I34" s="1">
        <f t="shared" si="4"/>
        <v>2.667672</v>
      </c>
      <c r="J34" s="1">
        <f t="shared" si="5"/>
        <v>15.116808000000001</v>
      </c>
      <c r="K34" s="1">
        <f t="shared" si="6"/>
        <v>2.3342129999999996</v>
      </c>
      <c r="L34" s="1">
        <f t="shared" si="7"/>
        <v>1.0003769999999998</v>
      </c>
      <c r="M34" s="5">
        <f t="shared" si="8"/>
        <v>4.6962142500000006</v>
      </c>
      <c r="N34" s="1">
        <f t="shared" si="9"/>
        <v>2.5287307500000002</v>
      </c>
      <c r="O34" s="1">
        <f t="shared" si="10"/>
        <v>0.91701225000000008</v>
      </c>
      <c r="P34" s="1">
        <f t="shared" si="11"/>
        <v>3.9737197500000008</v>
      </c>
      <c r="Q34" s="1">
        <f t="shared" si="12"/>
        <v>10.476170249999999</v>
      </c>
      <c r="R34" s="5">
        <f t="shared" si="13"/>
        <v>2.41757775</v>
      </c>
      <c r="S34" s="9">
        <f t="shared" si="14"/>
        <v>4.0015080000000003</v>
      </c>
      <c r="T34" s="9">
        <f t="shared" si="15"/>
        <v>0.44461200000000006</v>
      </c>
      <c r="U34" s="5"/>
      <c r="AD34" s="5"/>
    </row>
    <row r="35" spans="1:30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3"/>
        <v>594.87</v>
      </c>
      <c r="H35" s="1">
        <f t="shared" si="2"/>
        <v>124.92269999999999</v>
      </c>
      <c r="I35" s="1">
        <f t="shared" si="4"/>
        <v>5.996289599999999</v>
      </c>
      <c r="J35" s="1">
        <f t="shared" si="5"/>
        <v>33.978974399999998</v>
      </c>
      <c r="K35" s="1">
        <f t="shared" si="6"/>
        <v>5.2467533999999993</v>
      </c>
      <c r="L35" s="1">
        <f t="shared" si="7"/>
        <v>2.2486085999999998</v>
      </c>
      <c r="M35" s="5">
        <f t="shared" si="8"/>
        <v>10.555968149999998</v>
      </c>
      <c r="N35" s="1">
        <f t="shared" si="9"/>
        <v>5.6839828499999987</v>
      </c>
      <c r="O35" s="1">
        <f t="shared" si="10"/>
        <v>2.0612245499999999</v>
      </c>
      <c r="P35" s="1">
        <f t="shared" si="11"/>
        <v>8.9319730499999999</v>
      </c>
      <c r="Q35" s="1">
        <f t="shared" si="12"/>
        <v>23.547928949999999</v>
      </c>
      <c r="R35" s="5">
        <f t="shared" si="13"/>
        <v>5.4341374499999988</v>
      </c>
      <c r="S35" s="9">
        <f t="shared" si="14"/>
        <v>8.9944343999999994</v>
      </c>
      <c r="T35" s="9">
        <f t="shared" si="15"/>
        <v>0.99938159999999998</v>
      </c>
      <c r="U35" s="5"/>
      <c r="AD35" s="5"/>
    </row>
    <row r="36" spans="1:30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3"/>
        <v>500.07000000000005</v>
      </c>
      <c r="H36" s="1">
        <f t="shared" si="2"/>
        <v>105.0147</v>
      </c>
      <c r="I36" s="1">
        <f t="shared" si="4"/>
        <v>5.0407056000000008</v>
      </c>
      <c r="J36" s="1">
        <f t="shared" si="5"/>
        <v>28.563998400000003</v>
      </c>
      <c r="K36" s="1">
        <f t="shared" si="6"/>
        <v>4.4106173999999996</v>
      </c>
      <c r="L36" s="1">
        <f t="shared" si="7"/>
        <v>1.8902645999999999</v>
      </c>
      <c r="M36" s="5">
        <f t="shared" si="8"/>
        <v>8.8737421500000018</v>
      </c>
      <c r="N36" s="1">
        <f t="shared" si="9"/>
        <v>4.7781688500000001</v>
      </c>
      <c r="O36" s="1">
        <f t="shared" si="10"/>
        <v>1.73274255</v>
      </c>
      <c r="P36" s="1">
        <f t="shared" si="11"/>
        <v>7.5085510500000003</v>
      </c>
      <c r="Q36" s="1">
        <f t="shared" si="12"/>
        <v>19.795270950000003</v>
      </c>
      <c r="R36" s="5">
        <f t="shared" si="13"/>
        <v>4.5681394500000003</v>
      </c>
      <c r="S36" s="9">
        <f t="shared" si="14"/>
        <v>7.5610584000000012</v>
      </c>
      <c r="T36" s="9">
        <f t="shared" si="15"/>
        <v>0.84011760000000013</v>
      </c>
      <c r="U36" s="5"/>
      <c r="AD36" s="5"/>
    </row>
    <row r="37" spans="1:30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3"/>
        <v>342.07</v>
      </c>
      <c r="H37" s="1">
        <f t="shared" si="2"/>
        <v>71.834699999999998</v>
      </c>
      <c r="I37" s="1">
        <f t="shared" si="4"/>
        <v>3.4480655999999996</v>
      </c>
      <c r="J37" s="1">
        <f t="shared" si="5"/>
        <v>19.539038399999999</v>
      </c>
      <c r="K37" s="1">
        <f t="shared" si="6"/>
        <v>3.0170573999999997</v>
      </c>
      <c r="L37" s="1">
        <f t="shared" si="7"/>
        <v>1.2930245999999999</v>
      </c>
      <c r="M37" s="5">
        <f t="shared" si="8"/>
        <v>6.0700321500000003</v>
      </c>
      <c r="N37" s="1">
        <f t="shared" si="9"/>
        <v>3.2684788500000002</v>
      </c>
      <c r="O37" s="1">
        <f t="shared" si="10"/>
        <v>1.1852725499999999</v>
      </c>
      <c r="P37" s="1">
        <f t="shared" si="11"/>
        <v>5.1361810499999994</v>
      </c>
      <c r="Q37" s="1">
        <f t="shared" si="12"/>
        <v>13.54084095</v>
      </c>
      <c r="R37" s="5">
        <f t="shared" si="13"/>
        <v>3.1248094499999994</v>
      </c>
      <c r="S37" s="9">
        <f t="shared" si="14"/>
        <v>5.1720983999999994</v>
      </c>
      <c r="T37" s="9">
        <f t="shared" si="15"/>
        <v>0.57467760000000001</v>
      </c>
      <c r="U37" s="5"/>
      <c r="AD37" s="5"/>
    </row>
    <row r="38" spans="1:30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3"/>
        <v>594.87</v>
      </c>
      <c r="H38" s="1">
        <f t="shared" si="2"/>
        <v>124.92269999999999</v>
      </c>
      <c r="I38" s="1">
        <f t="shared" si="4"/>
        <v>5.996289599999999</v>
      </c>
      <c r="J38" s="1">
        <f t="shared" si="5"/>
        <v>33.978974399999998</v>
      </c>
      <c r="K38" s="1">
        <f t="shared" si="6"/>
        <v>5.2467533999999993</v>
      </c>
      <c r="L38" s="1">
        <f t="shared" si="7"/>
        <v>2.2486085999999998</v>
      </c>
      <c r="M38" s="5">
        <f t="shared" si="8"/>
        <v>10.555968149999998</v>
      </c>
      <c r="N38" s="1">
        <f t="shared" si="9"/>
        <v>5.6839828499999987</v>
      </c>
      <c r="O38" s="1">
        <f t="shared" si="10"/>
        <v>2.0612245499999999</v>
      </c>
      <c r="P38" s="1">
        <f t="shared" si="11"/>
        <v>8.9319730499999999</v>
      </c>
      <c r="Q38" s="1">
        <f t="shared" si="12"/>
        <v>23.547928949999999</v>
      </c>
      <c r="R38" s="5">
        <f t="shared" si="13"/>
        <v>5.4341374499999988</v>
      </c>
      <c r="S38" s="9">
        <f t="shared" si="14"/>
        <v>8.9944343999999994</v>
      </c>
      <c r="T38" s="9">
        <f t="shared" si="15"/>
        <v>0.99938159999999998</v>
      </c>
      <c r="U38" s="5"/>
      <c r="AD38" s="5"/>
    </row>
    <row r="39" spans="1:30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3"/>
        <v>342.07</v>
      </c>
      <c r="H39" s="1">
        <f t="shared" si="2"/>
        <v>71.834699999999998</v>
      </c>
      <c r="I39" s="1">
        <f t="shared" si="4"/>
        <v>3.4480655999999996</v>
      </c>
      <c r="J39" s="1">
        <f t="shared" si="5"/>
        <v>19.539038399999999</v>
      </c>
      <c r="K39" s="1">
        <f t="shared" si="6"/>
        <v>3.0170573999999997</v>
      </c>
      <c r="L39" s="1">
        <f t="shared" si="7"/>
        <v>1.2930245999999999</v>
      </c>
      <c r="M39" s="5">
        <f t="shared" si="8"/>
        <v>6.0700321500000003</v>
      </c>
      <c r="N39" s="1">
        <f t="shared" si="9"/>
        <v>3.2684788500000002</v>
      </c>
      <c r="O39" s="1">
        <f t="shared" si="10"/>
        <v>1.1852725499999999</v>
      </c>
      <c r="P39" s="1">
        <f t="shared" si="11"/>
        <v>5.1361810499999994</v>
      </c>
      <c r="Q39" s="1">
        <f t="shared" si="12"/>
        <v>13.54084095</v>
      </c>
      <c r="R39" s="5">
        <f t="shared" si="13"/>
        <v>3.1248094499999994</v>
      </c>
      <c r="S39" s="9">
        <f t="shared" si="14"/>
        <v>5.1720983999999994</v>
      </c>
      <c r="T39" s="9">
        <f t="shared" si="15"/>
        <v>0.57467760000000001</v>
      </c>
      <c r="U39" s="5"/>
      <c r="AD39" s="5"/>
    </row>
    <row r="40" spans="1:30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3"/>
        <v>718.9</v>
      </c>
      <c r="H40" s="1">
        <f t="shared" si="2"/>
        <v>150.96899999999999</v>
      </c>
      <c r="I40" s="1">
        <f t="shared" si="4"/>
        <v>7.2465119999999992</v>
      </c>
      <c r="J40" s="1">
        <f t="shared" si="5"/>
        <v>41.063567999999997</v>
      </c>
      <c r="K40" s="1">
        <f t="shared" si="6"/>
        <v>6.3406979999999997</v>
      </c>
      <c r="L40" s="1">
        <f t="shared" si="7"/>
        <v>2.7174419999999997</v>
      </c>
      <c r="M40" s="5">
        <f t="shared" si="8"/>
        <v>12.756880499999999</v>
      </c>
      <c r="N40" s="1">
        <f t="shared" si="9"/>
        <v>6.8690894999999994</v>
      </c>
      <c r="O40" s="1">
        <f t="shared" si="10"/>
        <v>2.4909884999999998</v>
      </c>
      <c r="P40" s="1">
        <f t="shared" si="11"/>
        <v>10.794283500000001</v>
      </c>
      <c r="Q40" s="1">
        <f t="shared" si="12"/>
        <v>28.457656499999999</v>
      </c>
      <c r="R40" s="5">
        <f t="shared" si="13"/>
        <v>6.5671514999999987</v>
      </c>
      <c r="S40" s="9">
        <f t="shared" si="14"/>
        <v>10.869768000000001</v>
      </c>
      <c r="T40" s="9">
        <f t="shared" si="15"/>
        <v>1.2077520000000002</v>
      </c>
      <c r="U40" s="5"/>
      <c r="AD40" s="5"/>
    </row>
    <row r="41" spans="1:30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3"/>
        <v>655.7</v>
      </c>
      <c r="H41" s="1">
        <f t="shared" si="2"/>
        <v>137.697</v>
      </c>
      <c r="I41" s="1">
        <f t="shared" si="4"/>
        <v>6.6094559999999998</v>
      </c>
      <c r="J41" s="1">
        <f t="shared" si="5"/>
        <v>37.453583999999999</v>
      </c>
      <c r="K41" s="1">
        <f t="shared" si="6"/>
        <v>5.7832739999999996</v>
      </c>
      <c r="L41" s="1">
        <f t="shared" si="7"/>
        <v>2.4785460000000001</v>
      </c>
      <c r="M41" s="5">
        <f t="shared" si="8"/>
        <v>11.635396500000001</v>
      </c>
      <c r="N41" s="1">
        <f t="shared" si="9"/>
        <v>6.2652134999999998</v>
      </c>
      <c r="O41" s="1">
        <f t="shared" si="10"/>
        <v>2.2720004999999999</v>
      </c>
      <c r="P41" s="1">
        <f t="shared" si="11"/>
        <v>9.8453355000000009</v>
      </c>
      <c r="Q41" s="1">
        <f t="shared" si="12"/>
        <v>25.9558845</v>
      </c>
      <c r="R41" s="5">
        <f t="shared" si="13"/>
        <v>5.9898195000000003</v>
      </c>
      <c r="S41" s="9">
        <f t="shared" si="14"/>
        <v>9.9141840000000006</v>
      </c>
      <c r="T41" s="9">
        <f t="shared" si="15"/>
        <v>1.1015760000000001</v>
      </c>
      <c r="U41" s="5"/>
      <c r="AD41" s="5"/>
    </row>
    <row r="42" spans="1:30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3"/>
        <v>624.1</v>
      </c>
      <c r="H42" s="1">
        <f t="shared" si="2"/>
        <v>131.06100000000001</v>
      </c>
      <c r="I42" s="1">
        <f t="shared" si="4"/>
        <v>6.2909280000000001</v>
      </c>
      <c r="J42" s="1">
        <f t="shared" si="5"/>
        <v>35.648592000000001</v>
      </c>
      <c r="K42" s="1">
        <f t="shared" si="6"/>
        <v>5.504562</v>
      </c>
      <c r="L42" s="1">
        <f t="shared" si="7"/>
        <v>2.3590979999999999</v>
      </c>
      <c r="M42" s="5">
        <f t="shared" si="8"/>
        <v>11.074654500000003</v>
      </c>
      <c r="N42" s="1">
        <f t="shared" si="9"/>
        <v>5.9632755000000008</v>
      </c>
      <c r="O42" s="1">
        <f t="shared" si="10"/>
        <v>2.1625065000000001</v>
      </c>
      <c r="P42" s="1">
        <f t="shared" si="11"/>
        <v>9.3708615000000002</v>
      </c>
      <c r="Q42" s="1">
        <f t="shared" si="12"/>
        <v>24.704998499999999</v>
      </c>
      <c r="R42" s="5">
        <f t="shared" si="13"/>
        <v>5.7011534999999993</v>
      </c>
      <c r="S42" s="9">
        <f t="shared" si="14"/>
        <v>9.4363920000000014</v>
      </c>
      <c r="T42" s="9">
        <f t="shared" si="15"/>
        <v>1.0484880000000001</v>
      </c>
      <c r="U42" s="5"/>
      <c r="AD42" s="5"/>
    </row>
    <row r="43" spans="1:30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3"/>
        <v>349.97</v>
      </c>
      <c r="H43" s="1">
        <f t="shared" si="2"/>
        <v>73.493700000000004</v>
      </c>
      <c r="I43" s="1">
        <f t="shared" si="4"/>
        <v>3.5276976000000002</v>
      </c>
      <c r="J43" s="1">
        <f t="shared" si="5"/>
        <v>19.990286400000002</v>
      </c>
      <c r="K43" s="1">
        <f t="shared" si="6"/>
        <v>3.0867353999999998</v>
      </c>
      <c r="L43" s="1">
        <f t="shared" si="7"/>
        <v>1.3228865999999999</v>
      </c>
      <c r="M43" s="5">
        <f t="shared" si="8"/>
        <v>6.2102176500000015</v>
      </c>
      <c r="N43" s="1">
        <f t="shared" si="9"/>
        <v>3.3439633500000006</v>
      </c>
      <c r="O43" s="1">
        <f t="shared" si="10"/>
        <v>1.21264605</v>
      </c>
      <c r="P43" s="1">
        <f t="shared" si="11"/>
        <v>5.2547995500000004</v>
      </c>
      <c r="Q43" s="1">
        <f t="shared" si="12"/>
        <v>13.85356245</v>
      </c>
      <c r="R43" s="5">
        <f t="shared" si="13"/>
        <v>3.1969759499999997</v>
      </c>
      <c r="S43" s="9">
        <f t="shared" si="14"/>
        <v>5.2915464000000005</v>
      </c>
      <c r="T43" s="9">
        <f t="shared" si="15"/>
        <v>0.58794960000000007</v>
      </c>
      <c r="U43" s="5"/>
      <c r="AD43" s="5"/>
    </row>
    <row r="44" spans="1:30" x14ac:dyDescent="0.2">
      <c r="E44" s="1">
        <f t="shared" ref="E44:T44" si="16">SUM(E2:E43)</f>
        <v>25285</v>
      </c>
      <c r="F44" s="1">
        <f t="shared" si="16"/>
        <v>5309.85</v>
      </c>
      <c r="G44" s="1">
        <f t="shared" si="16"/>
        <v>19975.149999999998</v>
      </c>
      <c r="H44" s="1">
        <f t="shared" si="16"/>
        <v>4194.7815000000001</v>
      </c>
      <c r="I44" s="1">
        <f t="shared" si="16"/>
        <v>201.34951200000006</v>
      </c>
      <c r="J44" s="1">
        <f t="shared" si="16"/>
        <v>1140.9805679999999</v>
      </c>
      <c r="K44" s="1">
        <f t="shared" si="16"/>
        <v>176.18082299999998</v>
      </c>
      <c r="L44" s="1">
        <f t="shared" si="16"/>
        <v>75.506066999999987</v>
      </c>
      <c r="M44" s="1">
        <f t="shared" si="16"/>
        <v>354.45903675</v>
      </c>
      <c r="N44" s="1">
        <f t="shared" si="16"/>
        <v>190.86255824999998</v>
      </c>
      <c r="O44" s="1">
        <f t="shared" si="16"/>
        <v>69.213894750000009</v>
      </c>
      <c r="P44" s="1">
        <f t="shared" si="16"/>
        <v>299.92687725000002</v>
      </c>
      <c r="Q44" s="1">
        <f t="shared" si="16"/>
        <v>790.71631275000004</v>
      </c>
      <c r="R44" s="1">
        <f t="shared" si="16"/>
        <v>182.47299524999994</v>
      </c>
      <c r="S44" s="8">
        <f t="shared" si="16"/>
        <v>302.02426800000001</v>
      </c>
      <c r="T44" s="8">
        <f t="shared" si="16"/>
        <v>33.558252000000003</v>
      </c>
    </row>
    <row r="45" spans="1:30" ht="68" x14ac:dyDescent="0.2">
      <c r="H45" s="1" t="s">
        <v>76</v>
      </c>
      <c r="I45" s="1" t="s">
        <v>78</v>
      </c>
      <c r="J45" s="1" t="s">
        <v>77</v>
      </c>
      <c r="K45" s="1" t="s">
        <v>80</v>
      </c>
      <c r="L45" s="1" t="s">
        <v>81</v>
      </c>
      <c r="M45" s="1" t="s">
        <v>79</v>
      </c>
      <c r="N45" s="1" t="s">
        <v>82</v>
      </c>
      <c r="O45" s="1" t="s">
        <v>87</v>
      </c>
      <c r="P45" s="1" t="s">
        <v>83</v>
      </c>
      <c r="Q45" s="1" t="s">
        <v>88</v>
      </c>
      <c r="R45" s="6" t="s">
        <v>84</v>
      </c>
      <c r="S45" s="8" t="s">
        <v>85</v>
      </c>
      <c r="T45" s="8" t="s">
        <v>86</v>
      </c>
    </row>
    <row r="46" spans="1:30" x14ac:dyDescent="0.2">
      <c r="H46" t="s">
        <v>67</v>
      </c>
      <c r="I46">
        <v>600</v>
      </c>
      <c r="J46"/>
      <c r="K46"/>
      <c r="L46"/>
      <c r="M46"/>
      <c r="N46"/>
      <c r="O46"/>
      <c r="P46"/>
      <c r="Q46"/>
      <c r="R46"/>
      <c r="S46" s="10"/>
      <c r="T46" s="10"/>
    </row>
    <row r="47" spans="1:30" x14ac:dyDescent="0.2">
      <c r="H47" t="s">
        <v>68</v>
      </c>
      <c r="I47" t="s">
        <v>69</v>
      </c>
      <c r="J47" t="s">
        <v>70</v>
      </c>
      <c r="K47" t="s">
        <v>71</v>
      </c>
      <c r="L47" t="s">
        <v>70</v>
      </c>
      <c r="M47" t="s">
        <v>72</v>
      </c>
      <c r="N47" t="s">
        <v>70</v>
      </c>
      <c r="O47" t="s">
        <v>73</v>
      </c>
      <c r="P47" t="s">
        <v>70</v>
      </c>
      <c r="Q47" t="s">
        <v>74</v>
      </c>
      <c r="R47" t="s">
        <v>70</v>
      </c>
      <c r="S47" s="10" t="s">
        <v>75</v>
      </c>
      <c r="T47" s="1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2026-01-29T13:53:42Z</dcterms:modified>
</cp:coreProperties>
</file>