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_Inside_Data_Preperation/Input/Inside_Data_Preparation_Step_3/"/>
    </mc:Choice>
  </mc:AlternateContent>
  <xr:revisionPtr revIDLastSave="0" documentId="13_ncr:1_{448D9F72-BEEE-6E46-AA74-515A8A7E5DAF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G2" i="1"/>
  <c r="H2" i="1" s="1"/>
  <c r="H3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</calcChain>
</file>

<file path=xl/sharedStrings.xml><?xml version="1.0" encoding="utf-8"?>
<sst xmlns="http://schemas.openxmlformats.org/spreadsheetml/2006/main" count="93" uniqueCount="58">
  <si>
    <t>id</t>
  </si>
  <si>
    <t>name</t>
  </si>
  <si>
    <t>type</t>
  </si>
  <si>
    <t>apartments</t>
  </si>
  <si>
    <t>residents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</si>
  <si>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</si>
  <si>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</si>
  <si>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</si>
  <si>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</si>
  <si>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</si>
  <si>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</si>
  <si>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</si>
  <si>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</si>
  <si>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</si>
  <si>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</si>
  <si>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</si>
  <si>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</si>
  <si>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</si>
  <si>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</si>
  <si>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</si>
  <si>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</si>
  <si>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</si>
  <si>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</si>
  <si>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</si>
  <si>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</si>
  <si>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</si>
  <si>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</si>
  <si>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</si>
  <si>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</si>
  <si>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</si>
  <si>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</si>
  <si>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</si>
  <si>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</si>
  <si>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</si>
  <si>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</si>
  <si>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</si>
  <si>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</si>
  <si>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</si>
  <si>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</si>
  <si>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</si>
  <si>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</si>
  <si>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</si>
  <si>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</si>
  <si>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</si>
  <si>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</si>
  <si>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</si>
  <si>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</si>
  <si>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block_x</t>
  </si>
  <si>
    <t>block_y</t>
  </si>
  <si>
    <t>Local center occupation</t>
  </si>
  <si>
    <t>District center ocupation</t>
  </si>
  <si>
    <t>M1 ground floor area</t>
  </si>
  <si>
    <t>M2 ground floor area</t>
  </si>
  <si>
    <t>M1_x</t>
  </si>
  <si>
    <t>M1_y</t>
  </si>
  <si>
    <t>M2_x</t>
  </si>
  <si>
    <t>M2_y</t>
  </si>
  <si>
    <t>Liesure_inside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</si>
</sst>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W42"/>
  <sheetViews>
    <sheetView tabSelected="1" zoomScale="75" workbookViewId="0">
      <selection activeCell="K12" sqref="K12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.6640625" style="1" bestFit="1" customWidth="1"/>
    <col min="10" max="11" width="18.83203125" style="1" bestFit="1" customWidth="1"/>
    <col min="12" max="12" width="13.5" style="1" bestFit="1" customWidth="1"/>
    <col min="13" max="13" width="12.33203125" style="1" bestFit="1" customWidth="1"/>
    <col min="14" max="14" width="16" style="1" customWidth="1"/>
    <col min="15" max="15" width="15.1640625" style="1" bestFit="1" customWidth="1"/>
    <col min="16" max="16" width="14" style="1" bestFit="1" customWidth="1"/>
    <col min="17" max="17" width="15.1640625" style="1" bestFit="1" customWidth="1"/>
    <col min="18" max="18" width="21.33203125" style="1" bestFit="1" customWidth="1"/>
    <col min="19" max="19" width="22.1640625" style="1" bestFit="1" customWidth="1"/>
    <col min="20" max="20" width="13" style="1" bestFit="1" customWidth="1"/>
    <col min="21" max="21" width="14.1640625" style="1" bestFit="1" customWidth="1"/>
    <col min="22" max="22" width="12.33203125" style="1" bestFit="1" customWidth="1"/>
    <col min="23" max="23" width="13.5" style="1" bestFit="1" customWidth="1"/>
    <col min="24" max="16384" width="10.83203125" style="1"/>
  </cols>
  <sheetData>
    <row r="1" spans="1:23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44</v>
      </c>
      <c r="H1" s="3" t="s">
        <v>46</v>
      </c>
      <c r="I1" s="2" t="s">
        <v>57</v>
      </c>
      <c r="J1" s="6" t="s">
        <v>51</v>
      </c>
      <c r="K1" s="6" t="s">
        <v>52</v>
      </c>
      <c r="L1" s="2" t="s">
        <v>47</v>
      </c>
      <c r="M1" s="2" t="s">
        <v>48</v>
      </c>
      <c r="N1" s="2" t="s">
        <v>53</v>
      </c>
      <c r="O1" s="2" t="s">
        <v>54</v>
      </c>
      <c r="P1" s="4" t="s">
        <v>55</v>
      </c>
      <c r="Q1" s="2" t="s">
        <v>56</v>
      </c>
      <c r="R1" s="6" t="s">
        <v>49</v>
      </c>
      <c r="S1" s="6" t="s">
        <v>50</v>
      </c>
      <c r="T1" s="2"/>
      <c r="U1" s="2"/>
      <c r="V1" s="2"/>
      <c r="W1" s="4"/>
    </row>
    <row r="2" spans="1:23" ht="17" x14ac:dyDescent="0.2">
      <c r="A2" s="1">
        <v>4</v>
      </c>
      <c r="B2" s="1" t="s">
        <v>5</v>
      </c>
      <c r="C2" s="1" t="s">
        <v>6</v>
      </c>
      <c r="D2" s="1">
        <v>357</v>
      </c>
      <c r="E2" s="1">
        <v>929</v>
      </c>
      <c r="F2" s="1">
        <f t="shared" ref="F2:F38" si="0">E2*0.21</f>
        <v>195.09</v>
      </c>
      <c r="G2" s="1">
        <f>E2*0.79</f>
        <v>733.91000000000008</v>
      </c>
      <c r="H2" s="1">
        <f t="shared" ref="H2:H38" si="1">G2*0.21</f>
        <v>154.12110000000001</v>
      </c>
      <c r="I2" s="1">
        <v>29.05182735</v>
      </c>
      <c r="J2" s="7">
        <v>7825.4</v>
      </c>
      <c r="K2" s="7">
        <v>22924.9</v>
      </c>
      <c r="L2">
        <v>-150</v>
      </c>
      <c r="M2">
        <v>620</v>
      </c>
      <c r="N2">
        <v>250</v>
      </c>
      <c r="O2">
        <v>520</v>
      </c>
      <c r="P2">
        <v>345</v>
      </c>
      <c r="Q2">
        <v>-100</v>
      </c>
      <c r="S2" s="5"/>
      <c r="W2" s="5"/>
    </row>
    <row r="3" spans="1:23" ht="17" x14ac:dyDescent="0.2">
      <c r="A3" s="1">
        <v>5</v>
      </c>
      <c r="B3" s="1" t="s">
        <v>7</v>
      </c>
      <c r="C3" s="1" t="s">
        <v>8</v>
      </c>
      <c r="D3" s="1">
        <v>263</v>
      </c>
      <c r="E3" s="1">
        <v>685</v>
      </c>
      <c r="F3" s="1">
        <f t="shared" si="0"/>
        <v>143.85</v>
      </c>
      <c r="G3" s="1">
        <f t="shared" ref="G3:G38" si="2">E3*0.79</f>
        <v>541.15</v>
      </c>
      <c r="H3" s="1">
        <f t="shared" si="1"/>
        <v>113.64149999999999</v>
      </c>
      <c r="I3" s="1">
        <v>21.421422749999998</v>
      </c>
      <c r="J3" s="7">
        <v>7825.4</v>
      </c>
      <c r="K3" s="7">
        <v>22924.9</v>
      </c>
      <c r="L3">
        <v>0</v>
      </c>
      <c r="M3">
        <v>600</v>
      </c>
      <c r="N3">
        <v>250</v>
      </c>
      <c r="O3">
        <v>520</v>
      </c>
      <c r="P3">
        <v>345</v>
      </c>
      <c r="Q3">
        <v>-100</v>
      </c>
      <c r="S3" s="5"/>
      <c r="W3" s="5"/>
    </row>
    <row r="4" spans="1:23" ht="17" x14ac:dyDescent="0.2">
      <c r="A4" s="1">
        <v>6</v>
      </c>
      <c r="B4" s="1" t="s">
        <v>9</v>
      </c>
      <c r="C4" s="1" t="s">
        <v>8</v>
      </c>
      <c r="D4" s="1">
        <v>273</v>
      </c>
      <c r="E4" s="1">
        <v>709</v>
      </c>
      <c r="F4" s="1">
        <f t="shared" si="0"/>
        <v>148.88999999999999</v>
      </c>
      <c r="G4" s="1">
        <f t="shared" si="2"/>
        <v>560.11</v>
      </c>
      <c r="H4" s="1">
        <f t="shared" si="1"/>
        <v>117.62309999999999</v>
      </c>
      <c r="I4" s="1">
        <v>22.17195435</v>
      </c>
      <c r="J4" s="7">
        <v>7825.4</v>
      </c>
      <c r="K4" s="7">
        <v>22924.9</v>
      </c>
      <c r="L4">
        <v>125</v>
      </c>
      <c r="M4">
        <v>580</v>
      </c>
      <c r="N4">
        <v>250</v>
      </c>
      <c r="O4">
        <v>520</v>
      </c>
      <c r="P4">
        <v>345</v>
      </c>
      <c r="Q4">
        <v>-100</v>
      </c>
      <c r="S4" s="5"/>
      <c r="W4" s="5"/>
    </row>
    <row r="5" spans="1:23" ht="17" x14ac:dyDescent="0.2">
      <c r="A5" s="1">
        <v>7</v>
      </c>
      <c r="B5" s="1" t="s">
        <v>10</v>
      </c>
      <c r="C5" s="1" t="s">
        <v>8</v>
      </c>
      <c r="D5" s="1">
        <v>413</v>
      </c>
      <c r="E5" s="1">
        <v>1075</v>
      </c>
      <c r="F5" s="1">
        <f t="shared" si="0"/>
        <v>225.75</v>
      </c>
      <c r="G5" s="1">
        <f t="shared" si="2"/>
        <v>849.25</v>
      </c>
      <c r="H5" s="1">
        <f t="shared" si="1"/>
        <v>178.3425</v>
      </c>
      <c r="I5" s="1">
        <v>33.617561250000001</v>
      </c>
      <c r="J5" s="7">
        <v>7825.4</v>
      </c>
      <c r="K5" s="7">
        <v>22924.9</v>
      </c>
      <c r="L5">
        <v>-210</v>
      </c>
      <c r="M5">
        <v>480</v>
      </c>
      <c r="N5">
        <v>250</v>
      </c>
      <c r="O5">
        <v>520</v>
      </c>
      <c r="P5">
        <v>345</v>
      </c>
      <c r="Q5">
        <v>-100</v>
      </c>
      <c r="S5" s="5"/>
      <c r="W5" s="5"/>
    </row>
    <row r="6" spans="1:23" ht="17" x14ac:dyDescent="0.2">
      <c r="A6" s="1">
        <v>8</v>
      </c>
      <c r="B6" s="1" t="s">
        <v>11</v>
      </c>
      <c r="C6" s="1" t="s">
        <v>8</v>
      </c>
      <c r="D6" s="1">
        <v>341</v>
      </c>
      <c r="E6" s="1">
        <v>885</v>
      </c>
      <c r="F6" s="1">
        <f t="shared" si="0"/>
        <v>185.85</v>
      </c>
      <c r="G6" s="1">
        <f t="shared" si="2"/>
        <v>699.15</v>
      </c>
      <c r="H6" s="1">
        <f t="shared" si="1"/>
        <v>146.82149999999999</v>
      </c>
      <c r="I6" s="1">
        <v>27.675852749999997</v>
      </c>
      <c r="J6" s="7">
        <v>7825.4</v>
      </c>
      <c r="K6" s="7">
        <v>22924.9</v>
      </c>
      <c r="L6">
        <v>-50</v>
      </c>
      <c r="M6">
        <v>485</v>
      </c>
      <c r="N6">
        <v>250</v>
      </c>
      <c r="O6">
        <v>520</v>
      </c>
      <c r="P6">
        <v>345</v>
      </c>
      <c r="Q6">
        <v>-100</v>
      </c>
      <c r="S6" s="5"/>
      <c r="W6" s="5"/>
    </row>
    <row r="7" spans="1:23" ht="17" x14ac:dyDescent="0.2">
      <c r="A7" s="1">
        <v>9</v>
      </c>
      <c r="B7" s="1" t="s">
        <v>12</v>
      </c>
      <c r="C7" s="1" t="s">
        <v>8</v>
      </c>
      <c r="D7" s="1">
        <v>124</v>
      </c>
      <c r="E7" s="1">
        <v>323</v>
      </c>
      <c r="F7" s="1">
        <f t="shared" si="0"/>
        <v>67.83</v>
      </c>
      <c r="G7" s="1">
        <f t="shared" si="2"/>
        <v>255.17000000000002</v>
      </c>
      <c r="H7" s="1">
        <f t="shared" si="1"/>
        <v>53.585700000000003</v>
      </c>
      <c r="I7" s="1">
        <v>10.10090445</v>
      </c>
      <c r="J7" s="7">
        <v>7825.4</v>
      </c>
      <c r="K7" s="7">
        <v>22924.9</v>
      </c>
      <c r="L7">
        <v>85</v>
      </c>
      <c r="M7">
        <v>475</v>
      </c>
      <c r="N7">
        <v>250</v>
      </c>
      <c r="O7">
        <v>520</v>
      </c>
      <c r="P7">
        <v>345</v>
      </c>
      <c r="Q7">
        <v>-100</v>
      </c>
      <c r="S7" s="5"/>
      <c r="W7" s="5"/>
    </row>
    <row r="8" spans="1:23" ht="17" x14ac:dyDescent="0.2">
      <c r="A8" s="1">
        <v>10</v>
      </c>
      <c r="B8" s="1" t="s">
        <v>13</v>
      </c>
      <c r="C8" s="1" t="s">
        <v>8</v>
      </c>
      <c r="D8" s="1">
        <v>395</v>
      </c>
      <c r="E8" s="1">
        <v>1027</v>
      </c>
      <c r="F8" s="1">
        <f t="shared" si="0"/>
        <v>215.67</v>
      </c>
      <c r="G8" s="1">
        <f t="shared" si="2"/>
        <v>811.33</v>
      </c>
      <c r="H8" s="1">
        <f t="shared" si="1"/>
        <v>170.3793</v>
      </c>
      <c r="I8" s="1">
        <v>32.116498049999997</v>
      </c>
      <c r="J8" s="7">
        <v>7825.4</v>
      </c>
      <c r="K8" s="7">
        <v>22924.9</v>
      </c>
      <c r="L8">
        <v>-310</v>
      </c>
      <c r="M8">
        <v>250</v>
      </c>
      <c r="N8">
        <v>250</v>
      </c>
      <c r="O8">
        <v>520</v>
      </c>
      <c r="P8">
        <v>345</v>
      </c>
      <c r="Q8">
        <v>-100</v>
      </c>
      <c r="S8" s="5"/>
      <c r="W8" s="5"/>
    </row>
    <row r="9" spans="1:23" ht="17" x14ac:dyDescent="0.2">
      <c r="A9" s="1">
        <v>11</v>
      </c>
      <c r="B9" s="1" t="s">
        <v>14</v>
      </c>
      <c r="C9" s="1" t="s">
        <v>8</v>
      </c>
      <c r="D9" s="1">
        <v>291</v>
      </c>
      <c r="E9" s="1">
        <v>756</v>
      </c>
      <c r="F9" s="1">
        <f t="shared" si="0"/>
        <v>158.76</v>
      </c>
      <c r="G9" s="1">
        <f t="shared" si="2"/>
        <v>597.24</v>
      </c>
      <c r="H9" s="1">
        <f t="shared" si="1"/>
        <v>125.4204</v>
      </c>
      <c r="I9" s="1">
        <v>23.641745400000001</v>
      </c>
      <c r="J9" s="7">
        <v>7825.4</v>
      </c>
      <c r="K9" s="7">
        <v>22924.9</v>
      </c>
      <c r="L9">
        <v>-120</v>
      </c>
      <c r="M9">
        <v>295</v>
      </c>
      <c r="N9">
        <v>250</v>
      </c>
      <c r="O9">
        <v>520</v>
      </c>
      <c r="P9">
        <v>345</v>
      </c>
      <c r="Q9">
        <v>-100</v>
      </c>
      <c r="S9" s="5"/>
      <c r="W9" s="5"/>
    </row>
    <row r="10" spans="1:23" ht="17" x14ac:dyDescent="0.2">
      <c r="A10" s="1">
        <v>12</v>
      </c>
      <c r="B10" s="1" t="s">
        <v>15</v>
      </c>
      <c r="C10" s="1" t="s">
        <v>8</v>
      </c>
      <c r="D10" s="1">
        <v>327</v>
      </c>
      <c r="E10" s="1">
        <v>850</v>
      </c>
      <c r="F10" s="1">
        <f t="shared" si="0"/>
        <v>178.5</v>
      </c>
      <c r="G10" s="1">
        <f t="shared" si="2"/>
        <v>671.5</v>
      </c>
      <c r="H10" s="1">
        <f t="shared" si="1"/>
        <v>141.01499999999999</v>
      </c>
      <c r="I10" s="1">
        <v>26.581327499999997</v>
      </c>
      <c r="J10" s="7">
        <v>7825.4</v>
      </c>
      <c r="K10" s="7">
        <v>22924.9</v>
      </c>
      <c r="L10">
        <v>30</v>
      </c>
      <c r="M10">
        <v>290</v>
      </c>
      <c r="N10">
        <v>250</v>
      </c>
      <c r="O10">
        <v>520</v>
      </c>
      <c r="P10">
        <v>345</v>
      </c>
      <c r="Q10">
        <v>-100</v>
      </c>
      <c r="S10" s="5"/>
      <c r="W10" s="5"/>
    </row>
    <row r="11" spans="1:23" ht="17" x14ac:dyDescent="0.2">
      <c r="A11" s="1">
        <v>13</v>
      </c>
      <c r="B11" s="1" t="s">
        <v>16</v>
      </c>
      <c r="C11" s="1" t="s">
        <v>8</v>
      </c>
      <c r="D11" s="1">
        <v>423</v>
      </c>
      <c r="E11" s="1">
        <v>1100</v>
      </c>
      <c r="F11" s="1">
        <f t="shared" si="0"/>
        <v>231</v>
      </c>
      <c r="G11" s="1">
        <f t="shared" si="2"/>
        <v>869</v>
      </c>
      <c r="H11" s="1">
        <f t="shared" si="1"/>
        <v>182.48999999999998</v>
      </c>
      <c r="I11" s="1">
        <v>34.399364999999996</v>
      </c>
      <c r="J11" s="7">
        <v>7825.4</v>
      </c>
      <c r="K11" s="7">
        <v>22924.9</v>
      </c>
      <c r="L11">
        <v>-330</v>
      </c>
      <c r="M11">
        <v>115</v>
      </c>
      <c r="N11">
        <v>250</v>
      </c>
      <c r="O11">
        <v>520</v>
      </c>
      <c r="P11">
        <v>345</v>
      </c>
      <c r="Q11">
        <v>-100</v>
      </c>
      <c r="S11" s="5"/>
      <c r="W11" s="5"/>
    </row>
    <row r="12" spans="1:23" ht="17" x14ac:dyDescent="0.2">
      <c r="A12" s="1">
        <v>14</v>
      </c>
      <c r="B12" s="1" t="s">
        <v>17</v>
      </c>
      <c r="C12" s="1" t="s">
        <v>8</v>
      </c>
      <c r="D12" s="1">
        <v>256</v>
      </c>
      <c r="E12" s="1">
        <v>667</v>
      </c>
      <c r="F12" s="1">
        <f t="shared" si="0"/>
        <v>140.07</v>
      </c>
      <c r="G12" s="1">
        <f t="shared" si="2"/>
        <v>526.93000000000006</v>
      </c>
      <c r="H12" s="1">
        <f t="shared" si="1"/>
        <v>110.65530000000001</v>
      </c>
      <c r="I12" s="1">
        <v>20.858524050000003</v>
      </c>
      <c r="J12" s="7">
        <v>7825.4</v>
      </c>
      <c r="K12" s="7">
        <v>22924.9</v>
      </c>
      <c r="L12">
        <v>-150</v>
      </c>
      <c r="M12">
        <v>190</v>
      </c>
      <c r="N12">
        <v>250</v>
      </c>
      <c r="O12">
        <v>520</v>
      </c>
      <c r="P12">
        <v>345</v>
      </c>
      <c r="Q12">
        <v>-100</v>
      </c>
      <c r="S12" s="5"/>
      <c r="W12" s="5"/>
    </row>
    <row r="13" spans="1:23" ht="17" x14ac:dyDescent="0.2">
      <c r="A13" s="1">
        <v>14</v>
      </c>
      <c r="B13" s="1" t="s">
        <v>18</v>
      </c>
      <c r="C13" s="1" t="s">
        <v>8</v>
      </c>
      <c r="D13" s="1">
        <v>504</v>
      </c>
      <c r="E13" s="1">
        <v>1310</v>
      </c>
      <c r="F13" s="1">
        <f t="shared" si="0"/>
        <v>275.09999999999997</v>
      </c>
      <c r="G13" s="1">
        <f t="shared" si="2"/>
        <v>1034.9000000000001</v>
      </c>
      <c r="H13" s="1">
        <f t="shared" si="1"/>
        <v>217.32900000000001</v>
      </c>
      <c r="I13" s="1">
        <v>40.966516500000004</v>
      </c>
      <c r="J13" s="7">
        <v>7825.4</v>
      </c>
      <c r="K13" s="7">
        <v>22924.9</v>
      </c>
      <c r="L13">
        <v>-20</v>
      </c>
      <c r="M13">
        <v>125</v>
      </c>
      <c r="N13">
        <v>250</v>
      </c>
      <c r="O13">
        <v>520</v>
      </c>
      <c r="P13">
        <v>345</v>
      </c>
      <c r="Q13">
        <v>-100</v>
      </c>
      <c r="S13" s="5"/>
      <c r="W13" s="5"/>
    </row>
    <row r="14" spans="1:23" ht="17" x14ac:dyDescent="0.2">
      <c r="A14" s="1">
        <v>15</v>
      </c>
      <c r="B14" s="1" t="s">
        <v>19</v>
      </c>
      <c r="C14" s="1" t="s">
        <v>8</v>
      </c>
      <c r="D14" s="1">
        <v>536</v>
      </c>
      <c r="E14" s="1">
        <v>1392</v>
      </c>
      <c r="F14" s="1">
        <f t="shared" si="0"/>
        <v>292.32</v>
      </c>
      <c r="G14" s="1">
        <f t="shared" si="2"/>
        <v>1099.68</v>
      </c>
      <c r="H14" s="1">
        <f t="shared" si="1"/>
        <v>230.93280000000001</v>
      </c>
      <c r="I14" s="1">
        <v>43.530832799999999</v>
      </c>
      <c r="J14" s="7">
        <v>7825.4</v>
      </c>
      <c r="K14" s="7">
        <v>22924.9</v>
      </c>
      <c r="L14">
        <v>-315</v>
      </c>
      <c r="M14">
        <v>-43</v>
      </c>
      <c r="N14">
        <v>250</v>
      </c>
      <c r="O14">
        <v>520</v>
      </c>
      <c r="P14">
        <v>345</v>
      </c>
      <c r="Q14">
        <v>-100</v>
      </c>
      <c r="S14" s="5"/>
      <c r="W14" s="5"/>
    </row>
    <row r="15" spans="1:23" ht="17" x14ac:dyDescent="0.2">
      <c r="A15" s="1">
        <v>15</v>
      </c>
      <c r="B15" s="1" t="s">
        <v>20</v>
      </c>
      <c r="C15" s="1" t="s">
        <v>8</v>
      </c>
      <c r="D15" s="1">
        <v>229</v>
      </c>
      <c r="E15" s="1">
        <v>595</v>
      </c>
      <c r="F15" s="1">
        <f t="shared" si="0"/>
        <v>124.94999999999999</v>
      </c>
      <c r="G15" s="1">
        <f t="shared" si="2"/>
        <v>470.05</v>
      </c>
      <c r="H15" s="1">
        <f t="shared" si="1"/>
        <v>98.710499999999996</v>
      </c>
      <c r="I15" s="1">
        <v>18.60692925</v>
      </c>
      <c r="J15" s="7">
        <v>7825.4</v>
      </c>
      <c r="K15" s="7">
        <v>22924.9</v>
      </c>
      <c r="L15">
        <v>-160</v>
      </c>
      <c r="M15">
        <v>50</v>
      </c>
      <c r="N15">
        <v>250</v>
      </c>
      <c r="O15">
        <v>520</v>
      </c>
      <c r="P15">
        <v>345</v>
      </c>
      <c r="Q15">
        <v>-100</v>
      </c>
      <c r="S15" s="5"/>
      <c r="W15" s="5"/>
    </row>
    <row r="16" spans="1:23" ht="17" x14ac:dyDescent="0.2">
      <c r="A16" s="1">
        <v>16</v>
      </c>
      <c r="B16" s="1" t="s">
        <v>21</v>
      </c>
      <c r="C16" s="1" t="s">
        <v>8</v>
      </c>
      <c r="D16" s="1">
        <v>460</v>
      </c>
      <c r="E16" s="1">
        <v>1196</v>
      </c>
      <c r="F16" s="1">
        <f t="shared" si="0"/>
        <v>251.16</v>
      </c>
      <c r="G16" s="1">
        <f t="shared" si="2"/>
        <v>944.84</v>
      </c>
      <c r="H16" s="1">
        <f t="shared" si="1"/>
        <v>198.41640000000001</v>
      </c>
      <c r="I16" s="1">
        <v>37.401491400000005</v>
      </c>
      <c r="J16" s="7">
        <v>7825.4</v>
      </c>
      <c r="K16" s="7">
        <v>22924.9</v>
      </c>
      <c r="L16">
        <v>-95</v>
      </c>
      <c r="M16">
        <v>-45</v>
      </c>
      <c r="N16">
        <v>250</v>
      </c>
      <c r="O16">
        <v>520</v>
      </c>
      <c r="P16">
        <v>345</v>
      </c>
      <c r="Q16">
        <v>-100</v>
      </c>
      <c r="S16" s="5"/>
      <c r="W16" s="5"/>
    </row>
    <row r="17" spans="1:23" ht="17" x14ac:dyDescent="0.2">
      <c r="A17" s="1">
        <v>19</v>
      </c>
      <c r="B17" s="1" t="s">
        <v>22</v>
      </c>
      <c r="C17" s="1" t="s">
        <v>8</v>
      </c>
      <c r="D17" s="1">
        <v>418</v>
      </c>
      <c r="E17" s="1">
        <v>1087</v>
      </c>
      <c r="F17" s="1">
        <f t="shared" si="0"/>
        <v>228.26999999999998</v>
      </c>
      <c r="G17" s="1">
        <f t="shared" si="2"/>
        <v>858.73</v>
      </c>
      <c r="H17" s="1">
        <f t="shared" si="1"/>
        <v>180.33330000000001</v>
      </c>
      <c r="I17" s="1">
        <v>33.992827049999995</v>
      </c>
      <c r="J17" s="7">
        <v>7825.4</v>
      </c>
      <c r="K17" s="7">
        <v>22924.9</v>
      </c>
      <c r="L17">
        <v>-35</v>
      </c>
      <c r="M17">
        <v>-175</v>
      </c>
      <c r="N17">
        <v>250</v>
      </c>
      <c r="O17">
        <v>520</v>
      </c>
      <c r="P17">
        <v>345</v>
      </c>
      <c r="Q17">
        <v>-100</v>
      </c>
      <c r="S17" s="5"/>
      <c r="W17" s="5"/>
    </row>
    <row r="18" spans="1:23" ht="17" x14ac:dyDescent="0.2">
      <c r="A18" s="1">
        <v>20</v>
      </c>
      <c r="B18" s="1" t="s">
        <v>23</v>
      </c>
      <c r="C18" s="1" t="s">
        <v>8</v>
      </c>
      <c r="D18" s="1">
        <v>256</v>
      </c>
      <c r="E18" s="1">
        <v>665</v>
      </c>
      <c r="F18" s="1">
        <f t="shared" si="0"/>
        <v>139.65</v>
      </c>
      <c r="G18" s="1">
        <f t="shared" si="2"/>
        <v>525.35</v>
      </c>
      <c r="H18" s="1">
        <f t="shared" si="1"/>
        <v>110.3235</v>
      </c>
      <c r="I18" s="1">
        <v>20.795979750000001</v>
      </c>
      <c r="J18" s="7">
        <v>7825.4</v>
      </c>
      <c r="K18" s="7">
        <v>22924.9</v>
      </c>
      <c r="L18">
        <v>-50</v>
      </c>
      <c r="M18">
        <v>-290</v>
      </c>
      <c r="N18">
        <v>250</v>
      </c>
      <c r="O18">
        <v>520</v>
      </c>
      <c r="P18">
        <v>345</v>
      </c>
      <c r="Q18">
        <v>-100</v>
      </c>
      <c r="S18" s="5"/>
      <c r="W18" s="5"/>
    </row>
    <row r="19" spans="1:23" ht="17" x14ac:dyDescent="0.2">
      <c r="A19" s="1">
        <v>21</v>
      </c>
      <c r="B19" s="1" t="s">
        <v>24</v>
      </c>
      <c r="C19" s="1" t="s">
        <v>8</v>
      </c>
      <c r="D19" s="1">
        <v>287</v>
      </c>
      <c r="E19" s="1">
        <v>747</v>
      </c>
      <c r="F19" s="1">
        <f t="shared" si="0"/>
        <v>156.87</v>
      </c>
      <c r="G19" s="1">
        <f t="shared" si="2"/>
        <v>590.13</v>
      </c>
      <c r="H19" s="1">
        <f t="shared" si="1"/>
        <v>123.92729999999999</v>
      </c>
      <c r="I19" s="1">
        <v>23.360296049999999</v>
      </c>
      <c r="J19" s="7">
        <v>7825.4</v>
      </c>
      <c r="K19" s="7">
        <v>22924.9</v>
      </c>
      <c r="L19">
        <v>85</v>
      </c>
      <c r="M19">
        <v>-255</v>
      </c>
      <c r="N19">
        <v>250</v>
      </c>
      <c r="O19">
        <v>520</v>
      </c>
      <c r="P19">
        <v>345</v>
      </c>
      <c r="Q19">
        <v>-100</v>
      </c>
      <c r="S19" s="5"/>
      <c r="W19" s="5"/>
    </row>
    <row r="20" spans="1:23" ht="17" x14ac:dyDescent="0.2">
      <c r="A20" s="1">
        <v>199</v>
      </c>
      <c r="B20" s="1" t="s">
        <v>25</v>
      </c>
      <c r="C20" s="1" t="s">
        <v>8</v>
      </c>
      <c r="D20" s="1">
        <v>207</v>
      </c>
      <c r="E20" s="1">
        <v>518</v>
      </c>
      <c r="F20" s="1">
        <f t="shared" si="0"/>
        <v>108.78</v>
      </c>
      <c r="G20" s="1">
        <f t="shared" si="2"/>
        <v>409.22</v>
      </c>
      <c r="H20" s="1">
        <f t="shared" si="1"/>
        <v>85.936199999999999</v>
      </c>
      <c r="I20" s="1">
        <v>16.1989737</v>
      </c>
      <c r="J20" s="7">
        <v>7825.4</v>
      </c>
      <c r="K20" s="7">
        <v>22924.9</v>
      </c>
      <c r="L20">
        <v>255</v>
      </c>
      <c r="M20">
        <v>380</v>
      </c>
      <c r="N20">
        <v>250</v>
      </c>
      <c r="O20">
        <v>520</v>
      </c>
      <c r="P20">
        <v>345</v>
      </c>
      <c r="Q20">
        <v>-100</v>
      </c>
      <c r="S20" s="5"/>
      <c r="W20" s="5"/>
    </row>
    <row r="21" spans="1:23" ht="17" x14ac:dyDescent="0.2">
      <c r="A21" s="1">
        <v>993</v>
      </c>
      <c r="B21" s="1" t="s">
        <v>26</v>
      </c>
      <c r="C21" s="1" t="s">
        <v>8</v>
      </c>
      <c r="D21" s="1">
        <v>106</v>
      </c>
      <c r="E21" s="1">
        <v>265</v>
      </c>
      <c r="F21" s="1">
        <f t="shared" si="0"/>
        <v>55.65</v>
      </c>
      <c r="G21" s="1">
        <f t="shared" si="2"/>
        <v>209.35000000000002</v>
      </c>
      <c r="H21" s="1">
        <f t="shared" si="1"/>
        <v>43.963500000000003</v>
      </c>
      <c r="I21" s="1">
        <v>8.2871197500000005</v>
      </c>
      <c r="J21" s="7">
        <v>7825.4</v>
      </c>
      <c r="K21" s="7">
        <v>22924.9</v>
      </c>
      <c r="L21">
        <v>230</v>
      </c>
      <c r="M21">
        <v>270</v>
      </c>
      <c r="N21">
        <v>250</v>
      </c>
      <c r="O21">
        <v>520</v>
      </c>
      <c r="P21">
        <v>345</v>
      </c>
      <c r="Q21">
        <v>-100</v>
      </c>
      <c r="S21" s="5"/>
      <c r="W21" s="5"/>
    </row>
    <row r="22" spans="1:23" ht="17" x14ac:dyDescent="0.2">
      <c r="A22" s="1">
        <v>232</v>
      </c>
      <c r="B22" s="1" t="s">
        <v>27</v>
      </c>
      <c r="C22" s="1" t="s">
        <v>8</v>
      </c>
      <c r="D22" s="1">
        <v>33</v>
      </c>
      <c r="E22" s="1">
        <v>83</v>
      </c>
      <c r="F22" s="1">
        <f t="shared" si="0"/>
        <v>17.43</v>
      </c>
      <c r="G22" s="1">
        <f t="shared" si="2"/>
        <v>65.570000000000007</v>
      </c>
      <c r="H22" s="1">
        <f t="shared" si="1"/>
        <v>13.7697</v>
      </c>
      <c r="I22" s="1">
        <v>2.5955884500000002</v>
      </c>
      <c r="J22" s="7">
        <v>7825.4</v>
      </c>
      <c r="K22" s="7">
        <v>22924.9</v>
      </c>
      <c r="L22">
        <v>335</v>
      </c>
      <c r="M22">
        <v>285</v>
      </c>
      <c r="N22">
        <v>250</v>
      </c>
      <c r="O22">
        <v>520</v>
      </c>
      <c r="P22">
        <v>345</v>
      </c>
      <c r="Q22">
        <v>-100</v>
      </c>
      <c r="S22" s="5"/>
      <c r="W22" s="5"/>
    </row>
    <row r="23" spans="1:23" ht="17" x14ac:dyDescent="0.2">
      <c r="A23" s="1">
        <v>3223</v>
      </c>
      <c r="B23" s="1" t="s">
        <v>28</v>
      </c>
      <c r="C23" s="1" t="s">
        <v>8</v>
      </c>
      <c r="D23" s="1">
        <v>238</v>
      </c>
      <c r="E23" s="1">
        <v>595</v>
      </c>
      <c r="F23" s="1">
        <f t="shared" si="0"/>
        <v>124.94999999999999</v>
      </c>
      <c r="G23" s="1">
        <f t="shared" si="2"/>
        <v>470.05</v>
      </c>
      <c r="H23" s="1">
        <f t="shared" si="1"/>
        <v>98.710499999999996</v>
      </c>
      <c r="I23" s="1">
        <v>18.60692925</v>
      </c>
      <c r="J23" s="7">
        <v>7825.4</v>
      </c>
      <c r="K23" s="7">
        <v>22924.9</v>
      </c>
      <c r="L23">
        <v>175</v>
      </c>
      <c r="M23">
        <v>130</v>
      </c>
      <c r="N23">
        <v>250</v>
      </c>
      <c r="O23">
        <v>520</v>
      </c>
      <c r="P23">
        <v>345</v>
      </c>
      <c r="Q23">
        <v>-100</v>
      </c>
      <c r="S23" s="5"/>
      <c r="W23" s="5"/>
    </row>
    <row r="24" spans="1:23" ht="17" x14ac:dyDescent="0.2">
      <c r="A24" s="1">
        <v>3233</v>
      </c>
      <c r="B24" s="1" t="s">
        <v>29</v>
      </c>
      <c r="C24" s="1" t="s">
        <v>8</v>
      </c>
      <c r="D24" s="1">
        <v>127</v>
      </c>
      <c r="E24" s="1">
        <v>318</v>
      </c>
      <c r="F24" s="1">
        <f t="shared" si="0"/>
        <v>66.78</v>
      </c>
      <c r="G24" s="1">
        <f t="shared" si="2"/>
        <v>251.22</v>
      </c>
      <c r="H24" s="1">
        <f t="shared" si="1"/>
        <v>52.7562</v>
      </c>
      <c r="I24" s="1">
        <v>9.9445436999999988</v>
      </c>
      <c r="J24" s="7">
        <v>7825.4</v>
      </c>
      <c r="K24" s="7">
        <v>22924.9</v>
      </c>
      <c r="L24">
        <v>290</v>
      </c>
      <c r="M24">
        <v>155</v>
      </c>
      <c r="N24">
        <v>250</v>
      </c>
      <c r="O24">
        <v>520</v>
      </c>
      <c r="P24">
        <v>345</v>
      </c>
      <c r="Q24">
        <v>-100</v>
      </c>
      <c r="S24" s="5"/>
      <c r="W24" s="5"/>
    </row>
    <row r="25" spans="1:23" ht="17" x14ac:dyDescent="0.2">
      <c r="A25" s="1">
        <v>234</v>
      </c>
      <c r="B25" s="1" t="s">
        <v>30</v>
      </c>
      <c r="C25" s="1" t="s">
        <v>8</v>
      </c>
      <c r="D25" s="1">
        <v>72</v>
      </c>
      <c r="E25" s="1">
        <v>180</v>
      </c>
      <c r="F25" s="1">
        <f t="shared" si="0"/>
        <v>37.799999999999997</v>
      </c>
      <c r="G25" s="1">
        <f t="shared" si="2"/>
        <v>142.20000000000002</v>
      </c>
      <c r="H25" s="1">
        <f t="shared" si="1"/>
        <v>29.862000000000002</v>
      </c>
      <c r="I25" s="1">
        <v>5.6289869999999995</v>
      </c>
      <c r="J25" s="7">
        <v>7825.4</v>
      </c>
      <c r="K25" s="7">
        <v>22924.9</v>
      </c>
      <c r="L25">
        <v>370</v>
      </c>
      <c r="M25">
        <v>130</v>
      </c>
      <c r="N25">
        <v>250</v>
      </c>
      <c r="O25">
        <v>520</v>
      </c>
      <c r="P25">
        <v>345</v>
      </c>
      <c r="Q25">
        <v>-100</v>
      </c>
      <c r="S25" s="5"/>
      <c r="W25" s="5"/>
    </row>
    <row r="26" spans="1:23" ht="17" x14ac:dyDescent="0.2">
      <c r="A26" s="1">
        <v>32321</v>
      </c>
      <c r="B26" s="1" t="s">
        <v>31</v>
      </c>
      <c r="C26" s="1" t="s">
        <v>8</v>
      </c>
      <c r="D26" s="1">
        <v>204</v>
      </c>
      <c r="E26" s="1">
        <v>510</v>
      </c>
      <c r="F26" s="1">
        <f t="shared" si="0"/>
        <v>107.1</v>
      </c>
      <c r="G26" s="1">
        <f t="shared" si="2"/>
        <v>402.90000000000003</v>
      </c>
      <c r="H26" s="1">
        <f t="shared" si="1"/>
        <v>84.609000000000009</v>
      </c>
      <c r="I26" s="1">
        <v>15.9487965</v>
      </c>
      <c r="J26" s="7">
        <v>7825.4</v>
      </c>
      <c r="K26" s="7">
        <v>22924.9</v>
      </c>
      <c r="L26">
        <v>180</v>
      </c>
      <c r="M26">
        <v>0</v>
      </c>
      <c r="N26">
        <v>250</v>
      </c>
      <c r="O26">
        <v>520</v>
      </c>
      <c r="P26">
        <v>345</v>
      </c>
      <c r="Q26">
        <v>-100</v>
      </c>
      <c r="S26" s="5"/>
      <c r="W26" s="5"/>
    </row>
    <row r="27" spans="1:23" ht="17" x14ac:dyDescent="0.2">
      <c r="A27" s="1">
        <v>3243</v>
      </c>
      <c r="B27" s="1" t="s">
        <v>32</v>
      </c>
      <c r="C27" s="1" t="s">
        <v>8</v>
      </c>
      <c r="D27" s="1">
        <v>128</v>
      </c>
      <c r="E27" s="1">
        <v>320</v>
      </c>
      <c r="F27" s="1">
        <f t="shared" si="0"/>
        <v>67.2</v>
      </c>
      <c r="G27" s="1">
        <f t="shared" si="2"/>
        <v>252.8</v>
      </c>
      <c r="H27" s="1">
        <f t="shared" si="1"/>
        <v>53.088000000000001</v>
      </c>
      <c r="I27" s="1">
        <v>10.007088</v>
      </c>
      <c r="J27" s="7">
        <v>7825.4</v>
      </c>
      <c r="K27" s="7">
        <v>22924.9</v>
      </c>
      <c r="L27">
        <v>320</v>
      </c>
      <c r="M27">
        <v>50</v>
      </c>
      <c r="N27">
        <v>250</v>
      </c>
      <c r="O27">
        <v>520</v>
      </c>
      <c r="P27">
        <v>345</v>
      </c>
      <c r="Q27">
        <v>-100</v>
      </c>
      <c r="S27" s="5"/>
      <c r="W27" s="5"/>
    </row>
    <row r="28" spans="1:23" ht="17" x14ac:dyDescent="0.2">
      <c r="A28" s="1">
        <v>2398</v>
      </c>
      <c r="B28" s="1" t="s">
        <v>33</v>
      </c>
      <c r="C28" s="1" t="s">
        <v>8</v>
      </c>
      <c r="D28" s="1">
        <v>74</v>
      </c>
      <c r="E28" s="1">
        <v>185</v>
      </c>
      <c r="F28" s="1">
        <f t="shared" si="0"/>
        <v>38.85</v>
      </c>
      <c r="G28" s="1">
        <f t="shared" si="2"/>
        <v>146.15</v>
      </c>
      <c r="H28" s="1">
        <f t="shared" si="1"/>
        <v>30.691500000000001</v>
      </c>
      <c r="I28" s="1">
        <v>5.7853477499999997</v>
      </c>
      <c r="J28" s="7">
        <v>7825.4</v>
      </c>
      <c r="K28" s="7">
        <v>22924.9</v>
      </c>
      <c r="L28">
        <v>380</v>
      </c>
      <c r="M28">
        <v>-40</v>
      </c>
      <c r="N28">
        <v>250</v>
      </c>
      <c r="O28">
        <v>520</v>
      </c>
      <c r="P28">
        <v>345</v>
      </c>
      <c r="Q28">
        <v>-100</v>
      </c>
      <c r="S28" s="5"/>
      <c r="W28" s="5"/>
    </row>
    <row r="29" spans="1:23" ht="17" x14ac:dyDescent="0.2">
      <c r="A29" s="1">
        <v>2343</v>
      </c>
      <c r="B29" s="1" t="s">
        <v>34</v>
      </c>
      <c r="C29" s="1" t="s">
        <v>8</v>
      </c>
      <c r="D29" s="1">
        <v>134</v>
      </c>
      <c r="E29" s="1">
        <v>335</v>
      </c>
      <c r="F29" s="1">
        <f t="shared" si="0"/>
        <v>70.349999999999994</v>
      </c>
      <c r="G29" s="1">
        <f t="shared" si="2"/>
        <v>264.65000000000003</v>
      </c>
      <c r="H29" s="1">
        <f t="shared" si="1"/>
        <v>55.576500000000003</v>
      </c>
      <c r="I29" s="1">
        <v>10.476170249999999</v>
      </c>
      <c r="J29" s="7">
        <v>7825.4</v>
      </c>
      <c r="K29" s="7">
        <v>22924.9</v>
      </c>
      <c r="L29">
        <v>235</v>
      </c>
      <c r="M29">
        <v>-200</v>
      </c>
      <c r="N29">
        <v>250</v>
      </c>
      <c r="O29">
        <v>520</v>
      </c>
      <c r="P29">
        <v>345</v>
      </c>
      <c r="Q29">
        <v>-100</v>
      </c>
      <c r="S29" s="5"/>
      <c r="W29" s="5"/>
    </row>
    <row r="30" spans="1:23" ht="17" x14ac:dyDescent="0.2">
      <c r="A30" s="1">
        <v>2387</v>
      </c>
      <c r="B30" s="1" t="s">
        <v>35</v>
      </c>
      <c r="C30" s="1" t="s">
        <v>8</v>
      </c>
      <c r="D30" s="1">
        <v>301</v>
      </c>
      <c r="E30" s="1">
        <v>753</v>
      </c>
      <c r="F30" s="1">
        <f t="shared" si="0"/>
        <v>158.13</v>
      </c>
      <c r="G30" s="1">
        <f t="shared" si="2"/>
        <v>594.87</v>
      </c>
      <c r="H30" s="1">
        <f t="shared" si="1"/>
        <v>124.92269999999999</v>
      </c>
      <c r="I30" s="1">
        <v>23.547928949999999</v>
      </c>
      <c r="J30" s="7">
        <v>7825.4</v>
      </c>
      <c r="K30" s="7">
        <v>22924.9</v>
      </c>
      <c r="L30">
        <v>300</v>
      </c>
      <c r="M30">
        <v>-380</v>
      </c>
      <c r="N30">
        <v>250</v>
      </c>
      <c r="O30">
        <v>520</v>
      </c>
      <c r="P30">
        <v>345</v>
      </c>
      <c r="Q30">
        <v>-100</v>
      </c>
      <c r="S30" s="5"/>
      <c r="W30" s="5"/>
    </row>
    <row r="31" spans="1:23" ht="17" x14ac:dyDescent="0.2">
      <c r="A31" s="1">
        <v>82765</v>
      </c>
      <c r="B31" s="1" t="s">
        <v>36</v>
      </c>
      <c r="C31" s="1" t="s">
        <v>8</v>
      </c>
      <c r="D31" s="1">
        <v>253</v>
      </c>
      <c r="E31" s="1">
        <v>633</v>
      </c>
      <c r="F31" s="1">
        <f t="shared" si="0"/>
        <v>132.93</v>
      </c>
      <c r="G31" s="1">
        <f t="shared" si="2"/>
        <v>500.07000000000005</v>
      </c>
      <c r="H31" s="1">
        <f t="shared" si="1"/>
        <v>105.0147</v>
      </c>
      <c r="I31" s="1">
        <v>19.795270950000003</v>
      </c>
      <c r="J31" s="7">
        <v>7825.4</v>
      </c>
      <c r="K31" s="7">
        <v>22924.9</v>
      </c>
      <c r="L31">
        <v>430</v>
      </c>
      <c r="M31">
        <v>-335</v>
      </c>
      <c r="N31">
        <v>250</v>
      </c>
      <c r="O31">
        <v>520</v>
      </c>
      <c r="P31">
        <v>345</v>
      </c>
      <c r="Q31">
        <v>-100</v>
      </c>
      <c r="S31" s="5"/>
      <c r="W31" s="5"/>
    </row>
    <row r="32" spans="1:23" ht="17" x14ac:dyDescent="0.2">
      <c r="A32" s="1">
        <v>8785</v>
      </c>
      <c r="B32" s="1" t="s">
        <v>37</v>
      </c>
      <c r="C32" s="1" t="s">
        <v>8</v>
      </c>
      <c r="D32" s="1">
        <v>173</v>
      </c>
      <c r="E32" s="1">
        <v>433</v>
      </c>
      <c r="F32" s="1">
        <f t="shared" si="0"/>
        <v>90.929999999999993</v>
      </c>
      <c r="G32" s="1">
        <f t="shared" si="2"/>
        <v>342.07</v>
      </c>
      <c r="H32" s="1">
        <f t="shared" si="1"/>
        <v>71.834699999999998</v>
      </c>
      <c r="I32" s="1">
        <v>13.54084095</v>
      </c>
      <c r="J32" s="7">
        <v>7825.4</v>
      </c>
      <c r="K32" s="7">
        <v>22924.9</v>
      </c>
      <c r="L32">
        <v>330</v>
      </c>
      <c r="M32">
        <v>-525</v>
      </c>
      <c r="N32">
        <v>250</v>
      </c>
      <c r="O32">
        <v>520</v>
      </c>
      <c r="P32">
        <v>345</v>
      </c>
      <c r="Q32">
        <v>-100</v>
      </c>
      <c r="S32" s="5"/>
      <c r="W32" s="5"/>
    </row>
    <row r="33" spans="1:23" ht="17" x14ac:dyDescent="0.2">
      <c r="A33" s="1">
        <v>211</v>
      </c>
      <c r="B33" s="1" t="s">
        <v>38</v>
      </c>
      <c r="C33" s="1" t="s">
        <v>8</v>
      </c>
      <c r="D33" s="1">
        <v>301</v>
      </c>
      <c r="E33" s="1">
        <v>753</v>
      </c>
      <c r="F33" s="1">
        <f t="shared" si="0"/>
        <v>158.13</v>
      </c>
      <c r="G33" s="1">
        <f t="shared" si="2"/>
        <v>594.87</v>
      </c>
      <c r="H33" s="1">
        <f t="shared" si="1"/>
        <v>124.92269999999999</v>
      </c>
      <c r="I33" s="1">
        <v>23.547928949999999</v>
      </c>
      <c r="J33" s="7">
        <v>7825.4</v>
      </c>
      <c r="K33" s="7">
        <v>22924.9</v>
      </c>
      <c r="L33">
        <v>450</v>
      </c>
      <c r="M33">
        <v>-500</v>
      </c>
      <c r="N33">
        <v>250</v>
      </c>
      <c r="O33">
        <v>520</v>
      </c>
      <c r="P33">
        <v>345</v>
      </c>
      <c r="Q33">
        <v>-100</v>
      </c>
      <c r="S33" s="5"/>
      <c r="W33" s="5"/>
    </row>
    <row r="34" spans="1:23" ht="17" x14ac:dyDescent="0.2">
      <c r="A34" s="1">
        <v>34532</v>
      </c>
      <c r="B34" s="1" t="s">
        <v>39</v>
      </c>
      <c r="C34" s="1" t="s">
        <v>6</v>
      </c>
      <c r="D34" s="1">
        <v>173</v>
      </c>
      <c r="E34" s="1">
        <v>433</v>
      </c>
      <c r="F34" s="1">
        <f t="shared" si="0"/>
        <v>90.929999999999993</v>
      </c>
      <c r="G34" s="1">
        <f t="shared" si="2"/>
        <v>342.07</v>
      </c>
      <c r="H34" s="1">
        <f t="shared" si="1"/>
        <v>71.834699999999998</v>
      </c>
      <c r="I34" s="1">
        <v>13.54084095</v>
      </c>
      <c r="J34" s="7">
        <v>7825.4</v>
      </c>
      <c r="K34" s="7">
        <v>22924.9</v>
      </c>
      <c r="L34">
        <v>10</v>
      </c>
      <c r="M34">
        <v>-480</v>
      </c>
      <c r="N34">
        <v>250</v>
      </c>
      <c r="O34">
        <v>520</v>
      </c>
      <c r="P34">
        <v>345</v>
      </c>
      <c r="Q34">
        <v>-100</v>
      </c>
      <c r="S34" s="5"/>
      <c r="W34" s="5"/>
    </row>
    <row r="35" spans="1:23" ht="17" x14ac:dyDescent="0.2">
      <c r="A35" s="1">
        <v>238734</v>
      </c>
      <c r="B35" s="1" t="s">
        <v>40</v>
      </c>
      <c r="C35" s="1" t="s">
        <v>6</v>
      </c>
      <c r="D35" s="1">
        <v>364</v>
      </c>
      <c r="E35" s="1">
        <v>910</v>
      </c>
      <c r="F35" s="1">
        <f t="shared" si="0"/>
        <v>191.1</v>
      </c>
      <c r="G35" s="1">
        <f t="shared" si="2"/>
        <v>718.9</v>
      </c>
      <c r="H35" s="1">
        <f t="shared" si="1"/>
        <v>150.96899999999999</v>
      </c>
      <c r="I35" s="1">
        <v>28.457656499999999</v>
      </c>
      <c r="J35" s="7">
        <v>7825.4</v>
      </c>
      <c r="K35" s="7">
        <v>22924.9</v>
      </c>
      <c r="L35">
        <v>160</v>
      </c>
      <c r="M35">
        <v>-440</v>
      </c>
      <c r="N35">
        <v>250</v>
      </c>
      <c r="O35">
        <v>520</v>
      </c>
      <c r="P35">
        <v>345</v>
      </c>
      <c r="Q35">
        <v>-100</v>
      </c>
      <c r="S35" s="5"/>
      <c r="W35" s="5"/>
    </row>
    <row r="36" spans="1:23" ht="17" x14ac:dyDescent="0.2">
      <c r="A36" s="1">
        <v>348</v>
      </c>
      <c r="B36" s="1" t="s">
        <v>41</v>
      </c>
      <c r="C36" s="1" t="s">
        <v>6</v>
      </c>
      <c r="D36" s="1">
        <v>332</v>
      </c>
      <c r="E36" s="1">
        <v>830</v>
      </c>
      <c r="F36" s="1">
        <f t="shared" si="0"/>
        <v>174.29999999999998</v>
      </c>
      <c r="G36" s="1">
        <f t="shared" si="2"/>
        <v>655.7</v>
      </c>
      <c r="H36" s="1">
        <f t="shared" si="1"/>
        <v>137.697</v>
      </c>
      <c r="I36" s="1">
        <v>25.9558845</v>
      </c>
      <c r="J36" s="7">
        <v>7825.4</v>
      </c>
      <c r="K36" s="7">
        <v>22924.9</v>
      </c>
      <c r="L36">
        <v>40</v>
      </c>
      <c r="M36">
        <v>-600</v>
      </c>
      <c r="N36">
        <v>250</v>
      </c>
      <c r="O36">
        <v>520</v>
      </c>
      <c r="P36">
        <v>345</v>
      </c>
      <c r="Q36">
        <v>-100</v>
      </c>
      <c r="S36" s="5"/>
      <c r="W36" s="5"/>
    </row>
    <row r="37" spans="1:23" ht="17" x14ac:dyDescent="0.2">
      <c r="A37" s="1">
        <v>2389</v>
      </c>
      <c r="B37" s="1" t="s">
        <v>42</v>
      </c>
      <c r="C37" s="1" t="s">
        <v>6</v>
      </c>
      <c r="D37" s="1">
        <v>316</v>
      </c>
      <c r="E37" s="1">
        <v>790</v>
      </c>
      <c r="F37" s="1">
        <f t="shared" si="0"/>
        <v>165.9</v>
      </c>
      <c r="G37" s="1">
        <f t="shared" si="2"/>
        <v>624.1</v>
      </c>
      <c r="H37" s="1">
        <f t="shared" si="1"/>
        <v>131.06100000000001</v>
      </c>
      <c r="I37" s="1">
        <v>24.704998499999999</v>
      </c>
      <c r="J37" s="7">
        <v>7825.4</v>
      </c>
      <c r="K37" s="7">
        <v>22924.9</v>
      </c>
      <c r="L37">
        <v>200</v>
      </c>
      <c r="M37">
        <v>-565</v>
      </c>
      <c r="N37">
        <v>250</v>
      </c>
      <c r="O37">
        <v>520</v>
      </c>
      <c r="P37">
        <v>345</v>
      </c>
      <c r="Q37">
        <v>-100</v>
      </c>
      <c r="S37" s="5"/>
      <c r="W37" s="5"/>
    </row>
    <row r="38" spans="1:23" ht="17" x14ac:dyDescent="0.2">
      <c r="A38" s="1">
        <v>34132</v>
      </c>
      <c r="B38" s="1" t="s">
        <v>43</v>
      </c>
      <c r="C38" s="1" t="s">
        <v>6</v>
      </c>
      <c r="D38" s="1">
        <v>177</v>
      </c>
      <c r="E38" s="1">
        <v>443</v>
      </c>
      <c r="F38" s="1">
        <f t="shared" si="0"/>
        <v>93.03</v>
      </c>
      <c r="G38" s="1">
        <f t="shared" si="2"/>
        <v>349.97</v>
      </c>
      <c r="H38" s="1">
        <f t="shared" si="1"/>
        <v>73.493700000000004</v>
      </c>
      <c r="I38" s="1">
        <v>13.85356245</v>
      </c>
      <c r="J38" s="7">
        <v>7825.4</v>
      </c>
      <c r="K38" s="7">
        <v>22924.9</v>
      </c>
      <c r="L38">
        <v>435</v>
      </c>
      <c r="M38">
        <v>-660</v>
      </c>
      <c r="N38">
        <v>250</v>
      </c>
      <c r="O38">
        <v>520</v>
      </c>
      <c r="P38">
        <v>345</v>
      </c>
      <c r="Q38">
        <v>-100</v>
      </c>
      <c r="S38" s="5"/>
      <c r="W38" s="5"/>
    </row>
    <row r="41" spans="1:23" x14ac:dyDescent="0.2">
      <c r="H41"/>
      <c r="I41"/>
      <c r="J41"/>
      <c r="K41"/>
      <c r="L41"/>
      <c r="M41"/>
      <c r="R41"/>
      <c r="S41"/>
    </row>
    <row r="42" spans="1:23" x14ac:dyDescent="0.2">
      <c r="H42"/>
      <c r="I42"/>
      <c r="J42"/>
      <c r="K42"/>
      <c r="L42"/>
      <c r="M42"/>
      <c r="R42"/>
      <c r="S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2026-02-01T15:59:48Z</dcterms:modified>
</cp:coreProperties>
</file>