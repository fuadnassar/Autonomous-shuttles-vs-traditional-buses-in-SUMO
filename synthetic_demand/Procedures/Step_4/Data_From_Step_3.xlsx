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untitled folder/Step 2/"/>
    </mc:Choice>
  </mc:AlternateContent>
  <xr:revisionPtr revIDLastSave="0" documentId="13_ncr:1_{8324FBBD-CD5C-104F-A8F5-C5183ABE4C74}" xr6:coauthVersionLast="47" xr6:coauthVersionMax="47" xr10:uidLastSave="{00000000-0000-0000-0000-000000000000}"/>
  <bookViews>
    <workbookView xWindow="7800" yWindow="1680" windowWidth="28040" windowHeight="1736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2" i="1"/>
  <c r="R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<sst xmlns="http://schemas.openxmlformats.org/spreadsheetml/2006/main" count="44" uniqueCount="44">
  <si>
    <t>name</t>
  </si>
  <si>
    <t>U</t>
  </si>
  <si>
    <t>V</t>
  </si>
  <si>
    <t>W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</si>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</sst>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20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S44"/>
  <sheetViews>
    <sheetView tabSelected="1" workbookViewId="0">
      <selection activeCell="L14" sqref="L14"/>
    </sheetView>
  </sheetViews>
  <sheetFormatPr baseColWidth="10" defaultRowHeight="16" x14ac:dyDescent="0.2"/>
  <cols>
    <col min="1" max="3" width="10.83203125" style="1"/>
    <col min="4" max="4" width="16" style="1" customWidth="1"/>
    <col min="5" max="5" width="14.6640625" style="1" customWidth="1"/>
    <col min="6" max="7" width="10.83203125" style="1"/>
    <col min="8" max="8" width="10.1640625" style="1" customWidth="1"/>
    <col min="9" max="16384" width="10.83203125" style="1"/>
  </cols>
  <sheetData>
    <row r="1" spans="1:19" ht="31" customHeight="1" x14ac:dyDescent="0.2">
      <c r="A1" s="2" t="s">
        <v>0</v>
      </c>
      <c r="B1" s="2" t="s">
        <v>43</v>
      </c>
      <c r="C1" s="3">
        <v>0.25</v>
      </c>
      <c r="D1" s="3">
        <v>0.29166666666666669</v>
      </c>
      <c r="E1" s="3">
        <v>0.33333333333333331</v>
      </c>
      <c r="F1" s="3">
        <v>0.375</v>
      </c>
      <c r="G1" s="3">
        <v>0.41666666666666669</v>
      </c>
      <c r="H1" s="3">
        <v>0.45833333333333331</v>
      </c>
      <c r="I1" s="3">
        <v>0.5</v>
      </c>
      <c r="J1" s="3">
        <v>0.54166666666666663</v>
      </c>
      <c r="K1" s="3">
        <v>0.58333333333333337</v>
      </c>
      <c r="L1" s="3">
        <v>0.625</v>
      </c>
      <c r="M1" s="3">
        <v>0.66666666666666663</v>
      </c>
      <c r="N1" s="3">
        <v>0.70833333333333337</v>
      </c>
      <c r="O1" s="3">
        <v>0.75</v>
      </c>
      <c r="P1" s="3">
        <v>0.79166666666666663</v>
      </c>
      <c r="Q1" s="3">
        <v>0.83333333333333337</v>
      </c>
      <c r="R1" s="3">
        <v>0.875</v>
      </c>
      <c r="S1" s="3">
        <v>0.91666666666666663</v>
      </c>
    </row>
    <row r="2" spans="1:19" ht="17" x14ac:dyDescent="0.2">
      <c r="A2" s="1" t="s">
        <v>1</v>
      </c>
      <c r="B2" s="1">
        <v>0</v>
      </c>
      <c r="C2" s="1">
        <f>B2*1.5%</f>
        <v>0</v>
      </c>
      <c r="D2" s="1">
        <f>B2*1.5%</f>
        <v>0</v>
      </c>
      <c r="E2" s="1">
        <f>B2*5%</f>
        <v>0</v>
      </c>
      <c r="F2" s="1">
        <f>B2*8%</f>
        <v>0</v>
      </c>
      <c r="G2" s="1">
        <f>B2*13%</f>
        <v>0</v>
      </c>
      <c r="H2" s="1">
        <f>B2*11.5%</f>
        <v>0</v>
      </c>
      <c r="I2" s="1">
        <f>B2*9.5%</f>
        <v>0</v>
      </c>
      <c r="J2" s="1">
        <f>B2*7.5%</f>
        <v>0</v>
      </c>
      <c r="K2" s="1">
        <f>B2*7%</f>
        <v>0</v>
      </c>
      <c r="L2" s="1">
        <f>B2*7.5%</f>
        <v>0</v>
      </c>
      <c r="M2" s="1">
        <f>B2*8%</f>
        <v>0</v>
      </c>
      <c r="N2" s="1">
        <f>B2*9%</f>
        <v>0</v>
      </c>
      <c r="O2" s="1">
        <f>B2*7%</f>
        <v>0</v>
      </c>
      <c r="P2" s="1">
        <f>B2*4%</f>
        <v>0</v>
      </c>
      <c r="Q2" s="1">
        <f>B2*1.5%</f>
        <v>0</v>
      </c>
      <c r="R2" s="1">
        <f>B2*0.5%</f>
        <v>0</v>
      </c>
      <c r="S2" s="4">
        <f>B2*1%</f>
        <v>0</v>
      </c>
    </row>
    <row r="3" spans="1:19" ht="17" x14ac:dyDescent="0.2">
      <c r="A3" s="1" t="s">
        <v>2</v>
      </c>
      <c r="B3" s="1">
        <v>0</v>
      </c>
      <c r="C3" s="1">
        <f t="shared" ref="C3:C44" si="0">B3*1.5%</f>
        <v>0</v>
      </c>
      <c r="D3" s="1">
        <f t="shared" ref="D3:D44" si="1">B3*1.5%</f>
        <v>0</v>
      </c>
      <c r="E3" s="1">
        <f t="shared" ref="E3:E44" si="2">B3*5%</f>
        <v>0</v>
      </c>
      <c r="F3" s="1">
        <f t="shared" ref="F3:F44" si="3">B3*8%</f>
        <v>0</v>
      </c>
      <c r="G3" s="1">
        <f t="shared" ref="G3:G44" si="4">B3*13%</f>
        <v>0</v>
      </c>
      <c r="H3" s="1">
        <f t="shared" ref="H3:H44" si="5">B3*11.5%</f>
        <v>0</v>
      </c>
      <c r="I3" s="1">
        <f t="shared" ref="I3:I44" si="6">B3*9.5%</f>
        <v>0</v>
      </c>
      <c r="J3" s="1">
        <f t="shared" ref="J3:J44" si="7">B3*7.5%</f>
        <v>0</v>
      </c>
      <c r="K3" s="1">
        <f t="shared" ref="K3:K44" si="8">B3*7%</f>
        <v>0</v>
      </c>
      <c r="L3" s="1">
        <f t="shared" ref="L3:L44" si="9">B3*7.5%</f>
        <v>0</v>
      </c>
      <c r="M3" s="1">
        <f t="shared" ref="M3:M44" si="10">B3*8%</f>
        <v>0</v>
      </c>
      <c r="N3" s="1">
        <f t="shared" ref="N3:N44" si="11">B3*9%</f>
        <v>0</v>
      </c>
      <c r="O3" s="1">
        <f t="shared" ref="O3:O44" si="12">B3*7%</f>
        <v>0</v>
      </c>
      <c r="P3" s="1">
        <f t="shared" ref="P3:P44" si="13">B3*4%</f>
        <v>0</v>
      </c>
      <c r="Q3" s="1">
        <f t="shared" ref="Q3:Q44" si="14">B3*1.5%</f>
        <v>0</v>
      </c>
      <c r="R3" s="1">
        <f t="shared" ref="R3:R44" si="15">B3*0.5%</f>
        <v>0</v>
      </c>
      <c r="S3" s="4">
        <f t="shared" ref="S3:S44" si="16">B3*1%</f>
        <v>0</v>
      </c>
    </row>
    <row r="4" spans="1:19" ht="17" x14ac:dyDescent="0.2">
      <c r="A4" s="1" t="s">
        <v>3</v>
      </c>
      <c r="B4" s="1">
        <v>0</v>
      </c>
      <c r="C4" s="1">
        <f t="shared" si="0"/>
        <v>0</v>
      </c>
      <c r="D4" s="1">
        <f t="shared" si="1"/>
        <v>0</v>
      </c>
      <c r="E4" s="1">
        <f t="shared" si="2"/>
        <v>0</v>
      </c>
      <c r="F4" s="1">
        <f t="shared" si="3"/>
        <v>0</v>
      </c>
      <c r="G4" s="1">
        <f t="shared" si="4"/>
        <v>0</v>
      </c>
      <c r="H4" s="1">
        <f t="shared" si="5"/>
        <v>0</v>
      </c>
      <c r="I4" s="1">
        <f t="shared" si="6"/>
        <v>0</v>
      </c>
      <c r="J4" s="1">
        <f t="shared" si="7"/>
        <v>0</v>
      </c>
      <c r="K4" s="1">
        <f t="shared" si="8"/>
        <v>0</v>
      </c>
      <c r="L4" s="1">
        <f t="shared" si="9"/>
        <v>0</v>
      </c>
      <c r="M4" s="1">
        <f t="shared" si="10"/>
        <v>0</v>
      </c>
      <c r="N4" s="1">
        <f t="shared" si="11"/>
        <v>0</v>
      </c>
      <c r="O4" s="1">
        <f t="shared" si="12"/>
        <v>0</v>
      </c>
      <c r="P4" s="1">
        <f t="shared" si="13"/>
        <v>0</v>
      </c>
      <c r="Q4" s="1">
        <f t="shared" si="14"/>
        <v>0</v>
      </c>
      <c r="R4" s="1">
        <f t="shared" si="15"/>
        <v>0</v>
      </c>
      <c r="S4" s="4">
        <f t="shared" si="16"/>
        <v>0</v>
      </c>
    </row>
    <row r="5" spans="1:19" ht="17" x14ac:dyDescent="0.2">
      <c r="A5" s="1" t="s">
        <v>4</v>
      </c>
      <c r="B5" s="1">
        <v>59.226300000000002</v>
      </c>
      <c r="C5" s="1">
        <f t="shared" si="0"/>
        <v>0.88839449999999998</v>
      </c>
      <c r="D5" s="1">
        <f t="shared" si="1"/>
        <v>0.88839449999999998</v>
      </c>
      <c r="E5" s="1">
        <f t="shared" si="2"/>
        <v>2.9613150000000004</v>
      </c>
      <c r="F5" s="1">
        <f t="shared" si="3"/>
        <v>4.7381039999999999</v>
      </c>
      <c r="G5" s="1">
        <f t="shared" si="4"/>
        <v>7.6994190000000007</v>
      </c>
      <c r="H5" s="1">
        <f t="shared" si="5"/>
        <v>6.8110245000000003</v>
      </c>
      <c r="I5" s="1">
        <f t="shared" si="6"/>
        <v>5.6264985000000003</v>
      </c>
      <c r="J5" s="1">
        <f t="shared" si="7"/>
        <v>4.4419725000000003</v>
      </c>
      <c r="K5" s="1">
        <f t="shared" si="8"/>
        <v>4.1458410000000008</v>
      </c>
      <c r="L5" s="1">
        <f t="shared" si="9"/>
        <v>4.4419725000000003</v>
      </c>
      <c r="M5" s="1">
        <f t="shared" si="10"/>
        <v>4.7381039999999999</v>
      </c>
      <c r="N5" s="1">
        <f t="shared" si="11"/>
        <v>5.3303669999999999</v>
      </c>
      <c r="O5" s="1">
        <f t="shared" si="12"/>
        <v>4.1458410000000008</v>
      </c>
      <c r="P5" s="1">
        <f t="shared" si="13"/>
        <v>2.3690519999999999</v>
      </c>
      <c r="Q5" s="1">
        <f t="shared" si="14"/>
        <v>0.88839449999999998</v>
      </c>
      <c r="R5" s="1">
        <f t="shared" si="15"/>
        <v>0.29613149999999999</v>
      </c>
      <c r="S5" s="4">
        <f t="shared" si="16"/>
        <v>0.59226299999999998</v>
      </c>
    </row>
    <row r="6" spans="1:19" ht="17" x14ac:dyDescent="0.2">
      <c r="A6" s="1" t="s">
        <v>5</v>
      </c>
      <c r="B6" s="1">
        <v>43.631700000000002</v>
      </c>
      <c r="C6" s="1">
        <f t="shared" si="0"/>
        <v>0.65447549999999999</v>
      </c>
      <c r="D6" s="1">
        <f t="shared" si="1"/>
        <v>0.65447549999999999</v>
      </c>
      <c r="E6" s="1">
        <f t="shared" si="2"/>
        <v>2.1815850000000001</v>
      </c>
      <c r="F6" s="1">
        <f t="shared" si="3"/>
        <v>3.4905360000000001</v>
      </c>
      <c r="G6" s="1">
        <f t="shared" si="4"/>
        <v>5.6721210000000006</v>
      </c>
      <c r="H6" s="1">
        <f t="shared" si="5"/>
        <v>5.0176455000000004</v>
      </c>
      <c r="I6" s="1">
        <f t="shared" si="6"/>
        <v>4.1450114999999998</v>
      </c>
      <c r="J6" s="1">
        <f t="shared" si="7"/>
        <v>3.2723775000000002</v>
      </c>
      <c r="K6" s="1">
        <f t="shared" si="8"/>
        <v>3.0542190000000002</v>
      </c>
      <c r="L6" s="1">
        <f t="shared" si="9"/>
        <v>3.2723775000000002</v>
      </c>
      <c r="M6" s="1">
        <f t="shared" si="10"/>
        <v>3.4905360000000001</v>
      </c>
      <c r="N6" s="1">
        <f t="shared" si="11"/>
        <v>3.9268529999999999</v>
      </c>
      <c r="O6" s="1">
        <f t="shared" si="12"/>
        <v>3.0542190000000002</v>
      </c>
      <c r="P6" s="1">
        <f t="shared" si="13"/>
        <v>1.745268</v>
      </c>
      <c r="Q6" s="1">
        <f t="shared" si="14"/>
        <v>0.65447549999999999</v>
      </c>
      <c r="R6" s="1">
        <f t="shared" si="15"/>
        <v>0.21815850000000001</v>
      </c>
      <c r="S6" s="4">
        <f t="shared" si="16"/>
        <v>0.43631700000000001</v>
      </c>
    </row>
    <row r="7" spans="1:19" ht="17" x14ac:dyDescent="0.2">
      <c r="A7" s="1" t="s">
        <v>6</v>
      </c>
      <c r="B7" s="1">
        <v>45.290700000000001</v>
      </c>
      <c r="C7" s="1">
        <f t="shared" si="0"/>
        <v>0.67936050000000003</v>
      </c>
      <c r="D7" s="1">
        <f t="shared" si="1"/>
        <v>0.67936050000000003</v>
      </c>
      <c r="E7" s="1">
        <f t="shared" si="2"/>
        <v>2.264535</v>
      </c>
      <c r="F7" s="1">
        <f t="shared" si="3"/>
        <v>3.623256</v>
      </c>
      <c r="G7" s="1">
        <f t="shared" si="4"/>
        <v>5.887791</v>
      </c>
      <c r="H7" s="1">
        <f t="shared" si="5"/>
        <v>5.2084305000000004</v>
      </c>
      <c r="I7" s="1">
        <f t="shared" si="6"/>
        <v>4.3026165000000001</v>
      </c>
      <c r="J7" s="1">
        <f t="shared" si="7"/>
        <v>3.3968025000000002</v>
      </c>
      <c r="K7" s="1">
        <f t="shared" si="8"/>
        <v>3.1703490000000003</v>
      </c>
      <c r="L7" s="1">
        <f t="shared" si="9"/>
        <v>3.3968025000000002</v>
      </c>
      <c r="M7" s="1">
        <f t="shared" si="10"/>
        <v>3.623256</v>
      </c>
      <c r="N7" s="1">
        <f t="shared" si="11"/>
        <v>4.0761630000000002</v>
      </c>
      <c r="O7" s="1">
        <f t="shared" si="12"/>
        <v>3.1703490000000003</v>
      </c>
      <c r="P7" s="1">
        <f t="shared" si="13"/>
        <v>1.811628</v>
      </c>
      <c r="Q7" s="1">
        <f t="shared" si="14"/>
        <v>0.67936050000000003</v>
      </c>
      <c r="R7" s="1">
        <f t="shared" si="15"/>
        <v>0.2264535</v>
      </c>
      <c r="S7" s="4">
        <f t="shared" si="16"/>
        <v>0.452907</v>
      </c>
    </row>
    <row r="8" spans="1:19" ht="17" x14ac:dyDescent="0.2">
      <c r="A8" s="1" t="s">
        <v>7</v>
      </c>
      <c r="B8" s="1">
        <v>68.5167</v>
      </c>
      <c r="C8" s="1">
        <f t="shared" si="0"/>
        <v>1.0277505</v>
      </c>
      <c r="D8" s="1">
        <f t="shared" si="1"/>
        <v>1.0277505</v>
      </c>
      <c r="E8" s="1">
        <f t="shared" si="2"/>
        <v>3.4258350000000002</v>
      </c>
      <c r="F8" s="1">
        <f t="shared" si="3"/>
        <v>5.4813359999999998</v>
      </c>
      <c r="G8" s="1">
        <f t="shared" si="4"/>
        <v>8.9071709999999999</v>
      </c>
      <c r="H8" s="1">
        <f t="shared" si="5"/>
        <v>7.8794205000000002</v>
      </c>
      <c r="I8" s="1">
        <f t="shared" si="6"/>
        <v>6.5090865000000004</v>
      </c>
      <c r="J8" s="1">
        <f t="shared" si="7"/>
        <v>5.1387524999999998</v>
      </c>
      <c r="K8" s="1">
        <f t="shared" si="8"/>
        <v>4.7961690000000008</v>
      </c>
      <c r="L8" s="1">
        <f t="shared" si="9"/>
        <v>5.1387524999999998</v>
      </c>
      <c r="M8" s="1">
        <f t="shared" si="10"/>
        <v>5.4813359999999998</v>
      </c>
      <c r="N8" s="1">
        <f t="shared" si="11"/>
        <v>6.1665029999999996</v>
      </c>
      <c r="O8" s="1">
        <f t="shared" si="12"/>
        <v>4.7961690000000008</v>
      </c>
      <c r="P8" s="1">
        <f t="shared" si="13"/>
        <v>2.7406679999999999</v>
      </c>
      <c r="Q8" s="1">
        <f t="shared" si="14"/>
        <v>1.0277505</v>
      </c>
      <c r="R8" s="1">
        <f t="shared" si="15"/>
        <v>0.34258349999999999</v>
      </c>
      <c r="S8" s="4">
        <f t="shared" si="16"/>
        <v>0.68516699999999997</v>
      </c>
    </row>
    <row r="9" spans="1:19" ht="17" x14ac:dyDescent="0.2">
      <c r="A9" s="1" t="s">
        <v>8</v>
      </c>
      <c r="B9" s="1">
        <v>56.571899999999992</v>
      </c>
      <c r="C9" s="1">
        <f t="shared" si="0"/>
        <v>0.8485784999999999</v>
      </c>
      <c r="D9" s="1">
        <f t="shared" si="1"/>
        <v>0.8485784999999999</v>
      </c>
      <c r="E9" s="1">
        <f t="shared" si="2"/>
        <v>2.828595</v>
      </c>
      <c r="F9" s="1">
        <f t="shared" si="3"/>
        <v>4.5257519999999998</v>
      </c>
      <c r="G9" s="1">
        <f t="shared" si="4"/>
        <v>7.3543469999999989</v>
      </c>
      <c r="H9" s="1">
        <f t="shared" si="5"/>
        <v>6.5057684999999994</v>
      </c>
      <c r="I9" s="1">
        <f t="shared" si="6"/>
        <v>5.3743304999999992</v>
      </c>
      <c r="J9" s="1">
        <f t="shared" si="7"/>
        <v>4.2428924999999991</v>
      </c>
      <c r="K9" s="1">
        <f t="shared" si="8"/>
        <v>3.9600329999999997</v>
      </c>
      <c r="L9" s="1">
        <f t="shared" si="9"/>
        <v>4.2428924999999991</v>
      </c>
      <c r="M9" s="1">
        <f t="shared" si="10"/>
        <v>4.5257519999999998</v>
      </c>
      <c r="N9" s="1">
        <f t="shared" si="11"/>
        <v>5.0914709999999994</v>
      </c>
      <c r="O9" s="1">
        <f t="shared" si="12"/>
        <v>3.9600329999999997</v>
      </c>
      <c r="P9" s="1">
        <f t="shared" si="13"/>
        <v>2.2628759999999999</v>
      </c>
      <c r="Q9" s="1">
        <f t="shared" si="14"/>
        <v>0.8485784999999999</v>
      </c>
      <c r="R9" s="1">
        <f t="shared" si="15"/>
        <v>0.28285949999999999</v>
      </c>
      <c r="S9" s="4">
        <f t="shared" si="16"/>
        <v>0.56571899999999997</v>
      </c>
    </row>
    <row r="10" spans="1:19" ht="17" x14ac:dyDescent="0.2">
      <c r="A10" s="1" t="s">
        <v>9</v>
      </c>
      <c r="B10" s="1">
        <v>20.5716</v>
      </c>
      <c r="C10" s="1">
        <f t="shared" si="0"/>
        <v>0.30857400000000001</v>
      </c>
      <c r="D10" s="1">
        <f t="shared" si="1"/>
        <v>0.30857400000000001</v>
      </c>
      <c r="E10" s="1">
        <f t="shared" si="2"/>
        <v>1.02858</v>
      </c>
      <c r="F10" s="1">
        <f t="shared" si="3"/>
        <v>1.6457280000000001</v>
      </c>
      <c r="G10" s="1">
        <f t="shared" si="4"/>
        <v>2.6743079999999999</v>
      </c>
      <c r="H10" s="1">
        <f t="shared" si="5"/>
        <v>2.3657340000000002</v>
      </c>
      <c r="I10" s="1">
        <f t="shared" si="6"/>
        <v>1.954302</v>
      </c>
      <c r="J10" s="1">
        <f t="shared" si="7"/>
        <v>1.54287</v>
      </c>
      <c r="K10" s="1">
        <f t="shared" si="8"/>
        <v>1.4400120000000001</v>
      </c>
      <c r="L10" s="1">
        <f t="shared" si="9"/>
        <v>1.54287</v>
      </c>
      <c r="M10" s="1">
        <f t="shared" si="10"/>
        <v>1.6457280000000001</v>
      </c>
      <c r="N10" s="1">
        <f t="shared" si="11"/>
        <v>1.8514439999999999</v>
      </c>
      <c r="O10" s="1">
        <f t="shared" si="12"/>
        <v>1.4400120000000001</v>
      </c>
      <c r="P10" s="1">
        <f t="shared" si="13"/>
        <v>0.82286400000000004</v>
      </c>
      <c r="Q10" s="1">
        <f t="shared" si="14"/>
        <v>0.30857400000000001</v>
      </c>
      <c r="R10" s="1">
        <f t="shared" si="15"/>
        <v>0.102858</v>
      </c>
      <c r="S10" s="4">
        <f t="shared" si="16"/>
        <v>0.20571600000000001</v>
      </c>
    </row>
    <row r="11" spans="1:19" ht="17" x14ac:dyDescent="0.2">
      <c r="A11" s="1" t="s">
        <v>10</v>
      </c>
      <c r="B11" s="1">
        <v>65.530500000000004</v>
      </c>
      <c r="C11" s="1">
        <f t="shared" si="0"/>
        <v>0.98295750000000004</v>
      </c>
      <c r="D11" s="1">
        <f t="shared" si="1"/>
        <v>0.98295750000000004</v>
      </c>
      <c r="E11" s="1">
        <f t="shared" si="2"/>
        <v>3.2765250000000004</v>
      </c>
      <c r="F11" s="1">
        <f t="shared" si="3"/>
        <v>5.2424400000000002</v>
      </c>
      <c r="G11" s="1">
        <f t="shared" si="4"/>
        <v>8.5189650000000015</v>
      </c>
      <c r="H11" s="1">
        <f t="shared" si="5"/>
        <v>7.5360075000000011</v>
      </c>
      <c r="I11" s="1">
        <f t="shared" si="6"/>
        <v>6.2253975000000006</v>
      </c>
      <c r="J11" s="1">
        <f t="shared" si="7"/>
        <v>4.9147875000000001</v>
      </c>
      <c r="K11" s="1">
        <f t="shared" si="8"/>
        <v>4.5871350000000009</v>
      </c>
      <c r="L11" s="1">
        <f t="shared" si="9"/>
        <v>4.9147875000000001</v>
      </c>
      <c r="M11" s="1">
        <f t="shared" si="10"/>
        <v>5.2424400000000002</v>
      </c>
      <c r="N11" s="1">
        <f t="shared" si="11"/>
        <v>5.8977450000000005</v>
      </c>
      <c r="O11" s="1">
        <f t="shared" si="12"/>
        <v>4.5871350000000009</v>
      </c>
      <c r="P11" s="1">
        <f t="shared" si="13"/>
        <v>2.6212200000000001</v>
      </c>
      <c r="Q11" s="1">
        <f t="shared" si="14"/>
        <v>0.98295750000000004</v>
      </c>
      <c r="R11" s="1">
        <f t="shared" si="15"/>
        <v>0.32765250000000001</v>
      </c>
      <c r="S11" s="4">
        <f t="shared" si="16"/>
        <v>0.65530500000000003</v>
      </c>
    </row>
    <row r="12" spans="1:19" ht="17" x14ac:dyDescent="0.2">
      <c r="A12" s="1" t="s">
        <v>11</v>
      </c>
      <c r="B12" s="1">
        <v>48.276900000000005</v>
      </c>
      <c r="C12" s="1">
        <f t="shared" si="0"/>
        <v>0.72415350000000001</v>
      </c>
      <c r="D12" s="1">
        <f t="shared" si="1"/>
        <v>0.72415350000000001</v>
      </c>
      <c r="E12" s="1">
        <f t="shared" si="2"/>
        <v>2.4138450000000002</v>
      </c>
      <c r="F12" s="1">
        <f t="shared" si="3"/>
        <v>3.8621520000000005</v>
      </c>
      <c r="G12" s="1">
        <f t="shared" si="4"/>
        <v>6.2759970000000012</v>
      </c>
      <c r="H12" s="1">
        <f t="shared" si="5"/>
        <v>5.5518435000000004</v>
      </c>
      <c r="I12" s="1">
        <f t="shared" si="6"/>
        <v>4.5863055000000008</v>
      </c>
      <c r="J12" s="1">
        <f t="shared" si="7"/>
        <v>3.6207675000000004</v>
      </c>
      <c r="K12" s="1">
        <f t="shared" si="8"/>
        <v>3.3793830000000007</v>
      </c>
      <c r="L12" s="1">
        <f t="shared" si="9"/>
        <v>3.6207675000000004</v>
      </c>
      <c r="M12" s="1">
        <f t="shared" si="10"/>
        <v>3.8621520000000005</v>
      </c>
      <c r="N12" s="1">
        <f t="shared" si="11"/>
        <v>4.3449210000000003</v>
      </c>
      <c r="O12" s="1">
        <f t="shared" si="12"/>
        <v>3.3793830000000007</v>
      </c>
      <c r="P12" s="1">
        <f t="shared" si="13"/>
        <v>1.9310760000000002</v>
      </c>
      <c r="Q12" s="1">
        <f t="shared" si="14"/>
        <v>0.72415350000000001</v>
      </c>
      <c r="R12" s="1">
        <f t="shared" si="15"/>
        <v>0.24138450000000003</v>
      </c>
      <c r="S12" s="4">
        <f t="shared" si="16"/>
        <v>0.48276900000000006</v>
      </c>
    </row>
    <row r="13" spans="1:19" ht="17" x14ac:dyDescent="0.2">
      <c r="A13" s="1" t="s">
        <v>12</v>
      </c>
      <c r="B13" s="1">
        <v>54.249299999999998</v>
      </c>
      <c r="C13" s="1">
        <f t="shared" si="0"/>
        <v>0.81373949999999995</v>
      </c>
      <c r="D13" s="1">
        <f t="shared" si="1"/>
        <v>0.81373949999999995</v>
      </c>
      <c r="E13" s="1">
        <f t="shared" si="2"/>
        <v>2.7124649999999999</v>
      </c>
      <c r="F13" s="1">
        <f t="shared" si="3"/>
        <v>4.339944</v>
      </c>
      <c r="G13" s="1">
        <f t="shared" si="4"/>
        <v>7.0524089999999999</v>
      </c>
      <c r="H13" s="1">
        <f t="shared" si="5"/>
        <v>6.2386695000000003</v>
      </c>
      <c r="I13" s="1">
        <f t="shared" si="6"/>
        <v>5.1536834999999996</v>
      </c>
      <c r="J13" s="1">
        <f t="shared" si="7"/>
        <v>4.0686974999999999</v>
      </c>
      <c r="K13" s="1">
        <f t="shared" si="8"/>
        <v>3.7974510000000001</v>
      </c>
      <c r="L13" s="1">
        <f t="shared" si="9"/>
        <v>4.0686974999999999</v>
      </c>
      <c r="M13" s="1">
        <f t="shared" si="10"/>
        <v>4.339944</v>
      </c>
      <c r="N13" s="1">
        <f t="shared" si="11"/>
        <v>4.8824369999999995</v>
      </c>
      <c r="O13" s="1">
        <f t="shared" si="12"/>
        <v>3.7974510000000001</v>
      </c>
      <c r="P13" s="1">
        <f t="shared" si="13"/>
        <v>2.169972</v>
      </c>
      <c r="Q13" s="1">
        <f t="shared" si="14"/>
        <v>0.81373949999999995</v>
      </c>
      <c r="R13" s="1">
        <f t="shared" si="15"/>
        <v>0.2712465</v>
      </c>
      <c r="S13" s="4">
        <f t="shared" si="16"/>
        <v>0.542493</v>
      </c>
    </row>
    <row r="14" spans="1:19" ht="17" x14ac:dyDescent="0.2">
      <c r="A14" s="1" t="s">
        <v>13</v>
      </c>
      <c r="B14" s="1">
        <v>70.175700000000006</v>
      </c>
      <c r="C14" s="1">
        <f t="shared" si="0"/>
        <v>1.0526355000000001</v>
      </c>
      <c r="D14" s="1">
        <f t="shared" si="1"/>
        <v>1.0526355000000001</v>
      </c>
      <c r="E14" s="1">
        <f t="shared" si="2"/>
        <v>3.5087850000000005</v>
      </c>
      <c r="F14" s="1">
        <f t="shared" si="3"/>
        <v>5.6140560000000006</v>
      </c>
      <c r="G14" s="1">
        <f t="shared" si="4"/>
        <v>9.1228410000000011</v>
      </c>
      <c r="H14" s="1">
        <f t="shared" si="5"/>
        <v>8.0702055000000019</v>
      </c>
      <c r="I14" s="1">
        <f t="shared" si="6"/>
        <v>6.6666915000000007</v>
      </c>
      <c r="J14" s="1">
        <f t="shared" si="7"/>
        <v>5.2631775000000003</v>
      </c>
      <c r="K14" s="1">
        <f t="shared" si="8"/>
        <v>4.9122990000000009</v>
      </c>
      <c r="L14" s="1">
        <f t="shared" si="9"/>
        <v>5.2631775000000003</v>
      </c>
      <c r="M14" s="1">
        <f t="shared" si="10"/>
        <v>5.6140560000000006</v>
      </c>
      <c r="N14" s="1">
        <f t="shared" si="11"/>
        <v>6.3158130000000003</v>
      </c>
      <c r="O14" s="1">
        <f t="shared" si="12"/>
        <v>4.9122990000000009</v>
      </c>
      <c r="P14" s="1">
        <f t="shared" si="13"/>
        <v>2.8070280000000003</v>
      </c>
      <c r="Q14" s="1">
        <f t="shared" si="14"/>
        <v>1.0526355000000001</v>
      </c>
      <c r="R14" s="1">
        <f t="shared" si="15"/>
        <v>0.35087850000000004</v>
      </c>
      <c r="S14" s="4">
        <f t="shared" si="16"/>
        <v>0.70175700000000008</v>
      </c>
    </row>
    <row r="15" spans="1:19" ht="17" x14ac:dyDescent="0.2">
      <c r="A15" s="1" t="s">
        <v>14</v>
      </c>
      <c r="B15" s="1">
        <v>42.470399999999998</v>
      </c>
      <c r="C15" s="1">
        <f t="shared" si="0"/>
        <v>0.63705599999999996</v>
      </c>
      <c r="D15" s="1">
        <f t="shared" si="1"/>
        <v>0.63705599999999996</v>
      </c>
      <c r="E15" s="1">
        <f t="shared" si="2"/>
        <v>2.1235200000000001</v>
      </c>
      <c r="F15" s="1">
        <f t="shared" si="3"/>
        <v>3.3976319999999998</v>
      </c>
      <c r="G15" s="1">
        <f t="shared" si="4"/>
        <v>5.5211519999999998</v>
      </c>
      <c r="H15" s="1">
        <f t="shared" si="5"/>
        <v>4.8840959999999995</v>
      </c>
      <c r="I15" s="1">
        <f t="shared" si="6"/>
        <v>4.0346880000000001</v>
      </c>
      <c r="J15" s="1">
        <f t="shared" si="7"/>
        <v>3.1852799999999997</v>
      </c>
      <c r="K15" s="1">
        <f t="shared" si="8"/>
        <v>2.972928</v>
      </c>
      <c r="L15" s="1">
        <f t="shared" si="9"/>
        <v>3.1852799999999997</v>
      </c>
      <c r="M15" s="1">
        <f t="shared" si="10"/>
        <v>3.3976319999999998</v>
      </c>
      <c r="N15" s="1">
        <f t="shared" si="11"/>
        <v>3.8223359999999995</v>
      </c>
      <c r="O15" s="1">
        <f t="shared" si="12"/>
        <v>2.972928</v>
      </c>
      <c r="P15" s="1">
        <f t="shared" si="13"/>
        <v>1.6988159999999999</v>
      </c>
      <c r="Q15" s="1">
        <f t="shared" si="14"/>
        <v>0.63705599999999996</v>
      </c>
      <c r="R15" s="1">
        <f t="shared" si="15"/>
        <v>0.21235199999999999</v>
      </c>
      <c r="S15" s="4">
        <f t="shared" si="16"/>
        <v>0.42470399999999997</v>
      </c>
    </row>
    <row r="16" spans="1:19" ht="17" x14ac:dyDescent="0.2">
      <c r="A16" s="1" t="s">
        <v>15</v>
      </c>
      <c r="B16" s="1">
        <v>83.613600000000005</v>
      </c>
      <c r="C16" s="1">
        <f t="shared" si="0"/>
        <v>1.2542040000000001</v>
      </c>
      <c r="D16" s="1">
        <f t="shared" si="1"/>
        <v>1.2542040000000001</v>
      </c>
      <c r="E16" s="1">
        <f t="shared" si="2"/>
        <v>4.1806800000000006</v>
      </c>
      <c r="F16" s="1">
        <f t="shared" si="3"/>
        <v>6.6890880000000008</v>
      </c>
      <c r="G16" s="1">
        <f t="shared" si="4"/>
        <v>10.869768000000001</v>
      </c>
      <c r="H16" s="1">
        <f t="shared" si="5"/>
        <v>9.6155640000000009</v>
      </c>
      <c r="I16" s="1">
        <f t="shared" si="6"/>
        <v>7.9432920000000005</v>
      </c>
      <c r="J16" s="1">
        <f t="shared" si="7"/>
        <v>6.27102</v>
      </c>
      <c r="K16" s="1">
        <f t="shared" si="8"/>
        <v>5.852952000000001</v>
      </c>
      <c r="L16" s="1">
        <f t="shared" si="9"/>
        <v>6.27102</v>
      </c>
      <c r="M16" s="1">
        <f t="shared" si="10"/>
        <v>6.6890880000000008</v>
      </c>
      <c r="N16" s="1">
        <f t="shared" si="11"/>
        <v>7.5252240000000006</v>
      </c>
      <c r="O16" s="1">
        <f t="shared" si="12"/>
        <v>5.852952000000001</v>
      </c>
      <c r="P16" s="1">
        <f t="shared" si="13"/>
        <v>3.3445440000000004</v>
      </c>
      <c r="Q16" s="1">
        <f t="shared" si="14"/>
        <v>1.2542040000000001</v>
      </c>
      <c r="R16" s="1">
        <f t="shared" si="15"/>
        <v>0.41806800000000005</v>
      </c>
      <c r="S16" s="4">
        <f t="shared" si="16"/>
        <v>0.8361360000000001</v>
      </c>
    </row>
    <row r="17" spans="1:19" ht="17" x14ac:dyDescent="0.2">
      <c r="A17" s="1" t="s">
        <v>16</v>
      </c>
      <c r="B17" s="1">
        <v>88.922399999999996</v>
      </c>
      <c r="C17" s="1">
        <f t="shared" si="0"/>
        <v>1.3338359999999998</v>
      </c>
      <c r="D17" s="1">
        <f t="shared" si="1"/>
        <v>1.3338359999999998</v>
      </c>
      <c r="E17" s="1">
        <f t="shared" si="2"/>
        <v>4.4461199999999996</v>
      </c>
      <c r="F17" s="1">
        <f t="shared" si="3"/>
        <v>7.1137920000000001</v>
      </c>
      <c r="G17" s="1">
        <f t="shared" si="4"/>
        <v>11.559912000000001</v>
      </c>
      <c r="H17" s="1">
        <f t="shared" si="5"/>
        <v>10.226076000000001</v>
      </c>
      <c r="I17" s="1">
        <f t="shared" si="6"/>
        <v>8.4476279999999999</v>
      </c>
      <c r="J17" s="1">
        <f t="shared" si="7"/>
        <v>6.6691799999999999</v>
      </c>
      <c r="K17" s="1">
        <f t="shared" si="8"/>
        <v>6.2245680000000005</v>
      </c>
      <c r="L17" s="1">
        <f t="shared" si="9"/>
        <v>6.6691799999999999</v>
      </c>
      <c r="M17" s="1">
        <f t="shared" si="10"/>
        <v>7.1137920000000001</v>
      </c>
      <c r="N17" s="1">
        <f t="shared" si="11"/>
        <v>8.0030159999999988</v>
      </c>
      <c r="O17" s="1">
        <f t="shared" si="12"/>
        <v>6.2245680000000005</v>
      </c>
      <c r="P17" s="1">
        <f t="shared" si="13"/>
        <v>3.5568960000000001</v>
      </c>
      <c r="Q17" s="1">
        <f t="shared" si="14"/>
        <v>1.3338359999999998</v>
      </c>
      <c r="R17" s="1">
        <f t="shared" si="15"/>
        <v>0.44461200000000001</v>
      </c>
      <c r="S17" s="4">
        <f t="shared" si="16"/>
        <v>0.88922400000000001</v>
      </c>
    </row>
    <row r="18" spans="1:19" ht="17" x14ac:dyDescent="0.2">
      <c r="A18" s="1" t="s">
        <v>17</v>
      </c>
      <c r="B18" s="1">
        <v>37.991099999999996</v>
      </c>
      <c r="C18" s="1">
        <f t="shared" si="0"/>
        <v>0.56986649999999994</v>
      </c>
      <c r="D18" s="1">
        <f t="shared" si="1"/>
        <v>0.56986649999999994</v>
      </c>
      <c r="E18" s="1">
        <f t="shared" si="2"/>
        <v>1.8995549999999999</v>
      </c>
      <c r="F18" s="1">
        <f t="shared" si="3"/>
        <v>3.0392879999999995</v>
      </c>
      <c r="G18" s="1">
        <f t="shared" si="4"/>
        <v>4.9388429999999994</v>
      </c>
      <c r="H18" s="1">
        <f t="shared" si="5"/>
        <v>4.3689764999999996</v>
      </c>
      <c r="I18" s="1">
        <f t="shared" si="6"/>
        <v>3.6091544999999998</v>
      </c>
      <c r="J18" s="1">
        <f t="shared" si="7"/>
        <v>2.8493324999999996</v>
      </c>
      <c r="K18" s="1">
        <f t="shared" si="8"/>
        <v>2.6593770000000001</v>
      </c>
      <c r="L18" s="1">
        <f t="shared" si="9"/>
        <v>2.8493324999999996</v>
      </c>
      <c r="M18" s="1">
        <f t="shared" si="10"/>
        <v>3.0392879999999995</v>
      </c>
      <c r="N18" s="1">
        <f t="shared" si="11"/>
        <v>3.4191989999999994</v>
      </c>
      <c r="O18" s="1">
        <f t="shared" si="12"/>
        <v>2.6593770000000001</v>
      </c>
      <c r="P18" s="1">
        <f t="shared" si="13"/>
        <v>1.5196439999999998</v>
      </c>
      <c r="Q18" s="1">
        <f t="shared" si="14"/>
        <v>0.56986649999999994</v>
      </c>
      <c r="R18" s="1">
        <f t="shared" si="15"/>
        <v>0.18995549999999997</v>
      </c>
      <c r="S18" s="4">
        <f t="shared" si="16"/>
        <v>0.37991099999999994</v>
      </c>
    </row>
    <row r="19" spans="1:19" ht="17" x14ac:dyDescent="0.2">
      <c r="A19" s="1" t="s">
        <v>18</v>
      </c>
      <c r="B19" s="1">
        <v>76.314000000000007</v>
      </c>
      <c r="C19" s="1">
        <f t="shared" si="0"/>
        <v>1.1447100000000001</v>
      </c>
      <c r="D19" s="1">
        <f t="shared" si="1"/>
        <v>1.1447100000000001</v>
      </c>
      <c r="E19" s="1">
        <f t="shared" si="2"/>
        <v>3.8157000000000005</v>
      </c>
      <c r="F19" s="1">
        <f t="shared" si="3"/>
        <v>6.1051200000000003</v>
      </c>
      <c r="G19" s="1">
        <f t="shared" si="4"/>
        <v>9.9208200000000009</v>
      </c>
      <c r="H19" s="1">
        <f t="shared" si="5"/>
        <v>8.776110000000001</v>
      </c>
      <c r="I19" s="1">
        <f t="shared" si="6"/>
        <v>7.2498300000000011</v>
      </c>
      <c r="J19" s="1">
        <f t="shared" si="7"/>
        <v>5.7235500000000004</v>
      </c>
      <c r="K19" s="1">
        <f t="shared" si="8"/>
        <v>5.3419800000000013</v>
      </c>
      <c r="L19" s="1">
        <f t="shared" si="9"/>
        <v>5.7235500000000004</v>
      </c>
      <c r="M19" s="1">
        <f t="shared" si="10"/>
        <v>6.1051200000000003</v>
      </c>
      <c r="N19" s="1">
        <f t="shared" si="11"/>
        <v>6.8682600000000003</v>
      </c>
      <c r="O19" s="1">
        <f t="shared" si="12"/>
        <v>5.3419800000000013</v>
      </c>
      <c r="P19" s="1">
        <f t="shared" si="13"/>
        <v>3.0525600000000002</v>
      </c>
      <c r="Q19" s="1">
        <f t="shared" si="14"/>
        <v>1.1447100000000001</v>
      </c>
      <c r="R19" s="1">
        <f t="shared" si="15"/>
        <v>0.38157000000000002</v>
      </c>
      <c r="S19" s="4">
        <f t="shared" si="16"/>
        <v>0.76314000000000004</v>
      </c>
    </row>
    <row r="20" spans="1:19" ht="17" x14ac:dyDescent="0.2">
      <c r="A20" s="1" t="s">
        <v>19</v>
      </c>
      <c r="B20" s="1">
        <v>0</v>
      </c>
      <c r="C20" s="1">
        <f t="shared" si="0"/>
        <v>0</v>
      </c>
      <c r="D20" s="1">
        <f t="shared" si="1"/>
        <v>0</v>
      </c>
      <c r="E20" s="1">
        <f t="shared" si="2"/>
        <v>0</v>
      </c>
      <c r="F20" s="1">
        <f t="shared" si="3"/>
        <v>0</v>
      </c>
      <c r="G20" s="1">
        <f t="shared" si="4"/>
        <v>0</v>
      </c>
      <c r="H20" s="1">
        <f t="shared" si="5"/>
        <v>0</v>
      </c>
      <c r="I20" s="1">
        <f t="shared" si="6"/>
        <v>0</v>
      </c>
      <c r="J20" s="1">
        <f t="shared" si="7"/>
        <v>0</v>
      </c>
      <c r="K20" s="1">
        <f t="shared" si="8"/>
        <v>0</v>
      </c>
      <c r="L20" s="1">
        <f t="shared" si="9"/>
        <v>0</v>
      </c>
      <c r="M20" s="1">
        <f t="shared" si="10"/>
        <v>0</v>
      </c>
      <c r="N20" s="1">
        <f t="shared" si="11"/>
        <v>0</v>
      </c>
      <c r="O20" s="1">
        <f t="shared" si="12"/>
        <v>0</v>
      </c>
      <c r="P20" s="1">
        <f t="shared" si="13"/>
        <v>0</v>
      </c>
      <c r="Q20" s="1">
        <f t="shared" si="14"/>
        <v>0</v>
      </c>
      <c r="R20" s="1">
        <f t="shared" si="15"/>
        <v>0</v>
      </c>
      <c r="S20" s="4">
        <f t="shared" si="16"/>
        <v>0</v>
      </c>
    </row>
    <row r="21" spans="1:19" ht="17" x14ac:dyDescent="0.2">
      <c r="A21" s="1" t="s">
        <v>20</v>
      </c>
      <c r="B21" s="1">
        <v>0</v>
      </c>
      <c r="C21" s="1">
        <f t="shared" si="0"/>
        <v>0</v>
      </c>
      <c r="D21" s="1">
        <f t="shared" si="1"/>
        <v>0</v>
      </c>
      <c r="E21" s="1">
        <f t="shared" si="2"/>
        <v>0</v>
      </c>
      <c r="F21" s="1">
        <f t="shared" si="3"/>
        <v>0</v>
      </c>
      <c r="G21" s="1">
        <f t="shared" si="4"/>
        <v>0</v>
      </c>
      <c r="H21" s="1">
        <f t="shared" si="5"/>
        <v>0</v>
      </c>
      <c r="I21" s="1">
        <f t="shared" si="6"/>
        <v>0</v>
      </c>
      <c r="J21" s="1">
        <f t="shared" si="7"/>
        <v>0</v>
      </c>
      <c r="K21" s="1">
        <f t="shared" si="8"/>
        <v>0</v>
      </c>
      <c r="L21" s="1">
        <f t="shared" si="9"/>
        <v>0</v>
      </c>
      <c r="M21" s="1">
        <f t="shared" si="10"/>
        <v>0</v>
      </c>
      <c r="N21" s="1">
        <f t="shared" si="11"/>
        <v>0</v>
      </c>
      <c r="O21" s="1">
        <f t="shared" si="12"/>
        <v>0</v>
      </c>
      <c r="P21" s="1">
        <f t="shared" si="13"/>
        <v>0</v>
      </c>
      <c r="Q21" s="1">
        <f t="shared" si="14"/>
        <v>0</v>
      </c>
      <c r="R21" s="1">
        <f t="shared" si="15"/>
        <v>0</v>
      </c>
      <c r="S21" s="4">
        <f t="shared" si="16"/>
        <v>0</v>
      </c>
    </row>
    <row r="22" spans="1:19" ht="17" x14ac:dyDescent="0.2">
      <c r="A22" s="1" t="s">
        <v>21</v>
      </c>
      <c r="B22" s="1">
        <v>69.346199999999996</v>
      </c>
      <c r="C22" s="1">
        <f t="shared" si="0"/>
        <v>1.0401929999999999</v>
      </c>
      <c r="D22" s="1">
        <f t="shared" si="1"/>
        <v>1.0401929999999999</v>
      </c>
      <c r="E22" s="1">
        <f t="shared" si="2"/>
        <v>3.4673099999999999</v>
      </c>
      <c r="F22" s="1">
        <f t="shared" si="3"/>
        <v>5.5476960000000002</v>
      </c>
      <c r="G22" s="1">
        <f t="shared" si="4"/>
        <v>9.0150059999999996</v>
      </c>
      <c r="H22" s="1">
        <f t="shared" si="5"/>
        <v>7.9748130000000002</v>
      </c>
      <c r="I22" s="1">
        <f t="shared" si="6"/>
        <v>6.5878889999999997</v>
      </c>
      <c r="J22" s="1">
        <f t="shared" si="7"/>
        <v>5.2009649999999992</v>
      </c>
      <c r="K22" s="1">
        <f t="shared" si="8"/>
        <v>4.8542339999999999</v>
      </c>
      <c r="L22" s="1">
        <f t="shared" si="9"/>
        <v>5.2009649999999992</v>
      </c>
      <c r="M22" s="1">
        <f t="shared" si="10"/>
        <v>5.5476960000000002</v>
      </c>
      <c r="N22" s="1">
        <f t="shared" si="11"/>
        <v>6.2411579999999995</v>
      </c>
      <c r="O22" s="1">
        <f t="shared" si="12"/>
        <v>4.8542339999999999</v>
      </c>
      <c r="P22" s="1">
        <f t="shared" si="13"/>
        <v>2.7738480000000001</v>
      </c>
      <c r="Q22" s="1">
        <f t="shared" si="14"/>
        <v>1.0401929999999999</v>
      </c>
      <c r="R22" s="1">
        <f t="shared" si="15"/>
        <v>0.34673100000000001</v>
      </c>
      <c r="S22" s="4">
        <f t="shared" si="16"/>
        <v>0.69346200000000002</v>
      </c>
    </row>
    <row r="23" spans="1:19" ht="17" x14ac:dyDescent="0.2">
      <c r="A23" s="1" t="s">
        <v>22</v>
      </c>
      <c r="B23" s="1">
        <v>42.470399999999998</v>
      </c>
      <c r="C23" s="1">
        <f t="shared" si="0"/>
        <v>0.63705599999999996</v>
      </c>
      <c r="D23" s="1">
        <f t="shared" si="1"/>
        <v>0.63705599999999996</v>
      </c>
      <c r="E23" s="1">
        <f t="shared" si="2"/>
        <v>2.1235200000000001</v>
      </c>
      <c r="F23" s="1">
        <f t="shared" si="3"/>
        <v>3.3976319999999998</v>
      </c>
      <c r="G23" s="1">
        <f t="shared" si="4"/>
        <v>5.5211519999999998</v>
      </c>
      <c r="H23" s="1">
        <f t="shared" si="5"/>
        <v>4.8840959999999995</v>
      </c>
      <c r="I23" s="1">
        <f t="shared" si="6"/>
        <v>4.0346880000000001</v>
      </c>
      <c r="J23" s="1">
        <f t="shared" si="7"/>
        <v>3.1852799999999997</v>
      </c>
      <c r="K23" s="1">
        <f t="shared" si="8"/>
        <v>2.972928</v>
      </c>
      <c r="L23" s="1">
        <f t="shared" si="9"/>
        <v>3.1852799999999997</v>
      </c>
      <c r="M23" s="1">
        <f t="shared" si="10"/>
        <v>3.3976319999999998</v>
      </c>
      <c r="N23" s="1">
        <f t="shared" si="11"/>
        <v>3.8223359999999995</v>
      </c>
      <c r="O23" s="1">
        <f t="shared" si="12"/>
        <v>2.972928</v>
      </c>
      <c r="P23" s="1">
        <f t="shared" si="13"/>
        <v>1.6988159999999999</v>
      </c>
      <c r="Q23" s="1">
        <f t="shared" si="14"/>
        <v>0.63705599999999996</v>
      </c>
      <c r="R23" s="1">
        <f t="shared" si="15"/>
        <v>0.21235199999999999</v>
      </c>
      <c r="S23" s="4">
        <f t="shared" si="16"/>
        <v>0.42470399999999997</v>
      </c>
    </row>
    <row r="24" spans="1:19" ht="17" x14ac:dyDescent="0.2">
      <c r="A24" s="1" t="s">
        <v>23</v>
      </c>
      <c r="B24" s="1">
        <v>47.613300000000002</v>
      </c>
      <c r="C24" s="1">
        <f t="shared" si="0"/>
        <v>0.71419949999999999</v>
      </c>
      <c r="D24" s="1">
        <f t="shared" si="1"/>
        <v>0.71419949999999999</v>
      </c>
      <c r="E24" s="1">
        <f t="shared" si="2"/>
        <v>2.380665</v>
      </c>
      <c r="F24" s="1">
        <f t="shared" si="3"/>
        <v>3.8090640000000002</v>
      </c>
      <c r="G24" s="1">
        <f t="shared" si="4"/>
        <v>6.1897290000000007</v>
      </c>
      <c r="H24" s="1">
        <f t="shared" si="5"/>
        <v>5.4755295000000004</v>
      </c>
      <c r="I24" s="1">
        <f t="shared" si="6"/>
        <v>4.5232635000000005</v>
      </c>
      <c r="J24" s="1">
        <f t="shared" si="7"/>
        <v>3.5709975000000003</v>
      </c>
      <c r="K24" s="1">
        <f t="shared" si="8"/>
        <v>3.3329310000000003</v>
      </c>
      <c r="L24" s="1">
        <f t="shared" si="9"/>
        <v>3.5709975000000003</v>
      </c>
      <c r="M24" s="1">
        <f t="shared" si="10"/>
        <v>3.8090640000000002</v>
      </c>
      <c r="N24" s="1">
        <f t="shared" si="11"/>
        <v>4.2851970000000001</v>
      </c>
      <c r="O24" s="1">
        <f t="shared" si="12"/>
        <v>3.3329310000000003</v>
      </c>
      <c r="P24" s="1">
        <f t="shared" si="13"/>
        <v>1.9045320000000001</v>
      </c>
      <c r="Q24" s="1">
        <f t="shared" si="14"/>
        <v>0.71419949999999999</v>
      </c>
      <c r="R24" s="1">
        <f t="shared" si="15"/>
        <v>0.23806650000000001</v>
      </c>
      <c r="S24" s="4">
        <f t="shared" si="16"/>
        <v>0.47613300000000003</v>
      </c>
    </row>
    <row r="25" spans="1:19" ht="17" x14ac:dyDescent="0.2">
      <c r="A25" s="1" t="s">
        <v>24</v>
      </c>
      <c r="B25" s="1">
        <v>34.341299999999997</v>
      </c>
      <c r="C25" s="1">
        <f t="shared" si="0"/>
        <v>0.51511949999999995</v>
      </c>
      <c r="D25" s="1">
        <f t="shared" si="1"/>
        <v>0.51511949999999995</v>
      </c>
      <c r="E25" s="1">
        <f t="shared" si="2"/>
        <v>1.7170649999999998</v>
      </c>
      <c r="F25" s="1">
        <f t="shared" si="3"/>
        <v>2.7473039999999997</v>
      </c>
      <c r="G25" s="1">
        <f t="shared" si="4"/>
        <v>4.4643689999999996</v>
      </c>
      <c r="H25" s="1">
        <f t="shared" si="5"/>
        <v>3.9492494999999996</v>
      </c>
      <c r="I25" s="1">
        <f t="shared" si="6"/>
        <v>3.2624234999999997</v>
      </c>
      <c r="J25" s="1">
        <f t="shared" si="7"/>
        <v>2.5755974999999998</v>
      </c>
      <c r="K25" s="1">
        <f t="shared" si="8"/>
        <v>2.4038910000000002</v>
      </c>
      <c r="L25" s="1">
        <f t="shared" si="9"/>
        <v>2.5755974999999998</v>
      </c>
      <c r="M25" s="1">
        <f t="shared" si="10"/>
        <v>2.7473039999999997</v>
      </c>
      <c r="N25" s="1">
        <f t="shared" si="11"/>
        <v>3.0907169999999997</v>
      </c>
      <c r="O25" s="1">
        <f t="shared" si="12"/>
        <v>2.4038910000000002</v>
      </c>
      <c r="P25" s="1">
        <f t="shared" si="13"/>
        <v>1.3736519999999999</v>
      </c>
      <c r="Q25" s="1">
        <f t="shared" si="14"/>
        <v>0.51511949999999995</v>
      </c>
      <c r="R25" s="1">
        <f t="shared" si="15"/>
        <v>0.17170649999999998</v>
      </c>
      <c r="S25" s="4">
        <f t="shared" si="16"/>
        <v>0.34341299999999997</v>
      </c>
    </row>
    <row r="26" spans="1:19" ht="17" x14ac:dyDescent="0.2">
      <c r="A26" s="1" t="s">
        <v>25</v>
      </c>
      <c r="B26" s="1">
        <v>17.5854</v>
      </c>
      <c r="C26" s="1">
        <f t="shared" si="0"/>
        <v>0.26378099999999999</v>
      </c>
      <c r="D26" s="1">
        <f t="shared" si="1"/>
        <v>0.26378099999999999</v>
      </c>
      <c r="E26" s="1">
        <f t="shared" si="2"/>
        <v>0.87927</v>
      </c>
      <c r="F26" s="1">
        <f t="shared" si="3"/>
        <v>1.4068320000000001</v>
      </c>
      <c r="G26" s="1">
        <f t="shared" si="4"/>
        <v>2.2861020000000001</v>
      </c>
      <c r="H26" s="1">
        <f t="shared" si="5"/>
        <v>2.0223210000000003</v>
      </c>
      <c r="I26" s="1">
        <f t="shared" si="6"/>
        <v>1.6706129999999999</v>
      </c>
      <c r="J26" s="1">
        <f t="shared" si="7"/>
        <v>1.318905</v>
      </c>
      <c r="K26" s="1">
        <f t="shared" si="8"/>
        <v>1.2309780000000001</v>
      </c>
      <c r="L26" s="1">
        <f t="shared" si="9"/>
        <v>1.318905</v>
      </c>
      <c r="M26" s="1">
        <f t="shared" si="10"/>
        <v>1.4068320000000001</v>
      </c>
      <c r="N26" s="1">
        <f t="shared" si="11"/>
        <v>1.582686</v>
      </c>
      <c r="O26" s="1">
        <f t="shared" si="12"/>
        <v>1.2309780000000001</v>
      </c>
      <c r="P26" s="1">
        <f t="shared" si="13"/>
        <v>0.70341600000000004</v>
      </c>
      <c r="Q26" s="1">
        <f t="shared" si="14"/>
        <v>0.26378099999999999</v>
      </c>
      <c r="R26" s="1">
        <f t="shared" si="15"/>
        <v>8.7927000000000005E-2</v>
      </c>
      <c r="S26" s="4">
        <f t="shared" si="16"/>
        <v>0.17585400000000001</v>
      </c>
    </row>
    <row r="27" spans="1:19" ht="17" x14ac:dyDescent="0.2">
      <c r="A27" s="1" t="s">
        <v>26</v>
      </c>
      <c r="B27" s="1">
        <v>5.4746999999999995</v>
      </c>
      <c r="C27" s="1">
        <f t="shared" si="0"/>
        <v>8.2120499999999985E-2</v>
      </c>
      <c r="D27" s="1">
        <f t="shared" si="1"/>
        <v>8.2120499999999985E-2</v>
      </c>
      <c r="E27" s="1">
        <f t="shared" si="2"/>
        <v>0.27373500000000001</v>
      </c>
      <c r="F27" s="1">
        <f t="shared" si="3"/>
        <v>0.43797599999999998</v>
      </c>
      <c r="G27" s="1">
        <f t="shared" si="4"/>
        <v>0.71171099999999998</v>
      </c>
      <c r="H27" s="1">
        <f t="shared" si="5"/>
        <v>0.62959049999999994</v>
      </c>
      <c r="I27" s="1">
        <f t="shared" si="6"/>
        <v>0.52009649999999996</v>
      </c>
      <c r="J27" s="1">
        <f t="shared" si="7"/>
        <v>0.41060249999999993</v>
      </c>
      <c r="K27" s="1">
        <f t="shared" si="8"/>
        <v>0.38322899999999999</v>
      </c>
      <c r="L27" s="1">
        <f t="shared" si="9"/>
        <v>0.41060249999999993</v>
      </c>
      <c r="M27" s="1">
        <f t="shared" si="10"/>
        <v>0.43797599999999998</v>
      </c>
      <c r="N27" s="1">
        <f t="shared" si="11"/>
        <v>0.49272299999999991</v>
      </c>
      <c r="O27" s="1">
        <f t="shared" si="12"/>
        <v>0.38322899999999999</v>
      </c>
      <c r="P27" s="1">
        <f t="shared" si="13"/>
        <v>0.21898799999999999</v>
      </c>
      <c r="Q27" s="1">
        <f t="shared" si="14"/>
        <v>8.2120499999999985E-2</v>
      </c>
      <c r="R27" s="1">
        <f t="shared" si="15"/>
        <v>2.7373499999999999E-2</v>
      </c>
      <c r="S27" s="4">
        <f t="shared" si="16"/>
        <v>5.4746999999999997E-2</v>
      </c>
    </row>
    <row r="28" spans="1:19" ht="17" x14ac:dyDescent="0.2">
      <c r="A28" s="1" t="s">
        <v>27</v>
      </c>
      <c r="B28" s="1">
        <v>39.484200000000001</v>
      </c>
      <c r="C28" s="1">
        <f t="shared" si="0"/>
        <v>0.59226299999999998</v>
      </c>
      <c r="D28" s="1">
        <f t="shared" si="1"/>
        <v>0.59226299999999998</v>
      </c>
      <c r="E28" s="1">
        <f t="shared" si="2"/>
        <v>1.9742100000000002</v>
      </c>
      <c r="F28" s="1">
        <f t="shared" si="3"/>
        <v>3.1587360000000002</v>
      </c>
      <c r="G28" s="1">
        <f t="shared" si="4"/>
        <v>5.1329460000000005</v>
      </c>
      <c r="H28" s="1">
        <f t="shared" si="5"/>
        <v>4.5406830000000005</v>
      </c>
      <c r="I28" s="1">
        <f t="shared" si="6"/>
        <v>3.7509990000000002</v>
      </c>
      <c r="J28" s="1">
        <f t="shared" si="7"/>
        <v>2.9613149999999999</v>
      </c>
      <c r="K28" s="1">
        <f t="shared" si="8"/>
        <v>2.7638940000000005</v>
      </c>
      <c r="L28" s="1">
        <f t="shared" si="9"/>
        <v>2.9613149999999999</v>
      </c>
      <c r="M28" s="1">
        <f t="shared" si="10"/>
        <v>3.1587360000000002</v>
      </c>
      <c r="N28" s="1">
        <f t="shared" si="11"/>
        <v>3.5535779999999999</v>
      </c>
      <c r="O28" s="1">
        <f t="shared" si="12"/>
        <v>2.7638940000000005</v>
      </c>
      <c r="P28" s="1">
        <f t="shared" si="13"/>
        <v>1.5793680000000001</v>
      </c>
      <c r="Q28" s="1">
        <f t="shared" si="14"/>
        <v>0.59226299999999998</v>
      </c>
      <c r="R28" s="1">
        <f t="shared" si="15"/>
        <v>0.19742100000000001</v>
      </c>
      <c r="S28" s="4">
        <f t="shared" si="16"/>
        <v>0.39484200000000003</v>
      </c>
    </row>
    <row r="29" spans="1:19" ht="17" x14ac:dyDescent="0.2">
      <c r="A29" s="1" t="s">
        <v>28</v>
      </c>
      <c r="B29" s="1">
        <v>21.069299999999998</v>
      </c>
      <c r="C29" s="1">
        <f t="shared" si="0"/>
        <v>0.31603949999999997</v>
      </c>
      <c r="D29" s="1">
        <f t="shared" si="1"/>
        <v>0.31603949999999997</v>
      </c>
      <c r="E29" s="1">
        <f t="shared" si="2"/>
        <v>1.0534649999999999</v>
      </c>
      <c r="F29" s="1">
        <f t="shared" si="3"/>
        <v>1.6855439999999999</v>
      </c>
      <c r="G29" s="1">
        <f t="shared" si="4"/>
        <v>2.7390089999999998</v>
      </c>
      <c r="H29" s="1">
        <f t="shared" si="5"/>
        <v>2.4229694999999998</v>
      </c>
      <c r="I29" s="1">
        <f t="shared" si="6"/>
        <v>2.0015834999999997</v>
      </c>
      <c r="J29" s="1">
        <f t="shared" si="7"/>
        <v>1.5801974999999999</v>
      </c>
      <c r="K29" s="1">
        <f t="shared" si="8"/>
        <v>1.4748510000000001</v>
      </c>
      <c r="L29" s="1">
        <f t="shared" si="9"/>
        <v>1.5801974999999999</v>
      </c>
      <c r="M29" s="1">
        <f t="shared" si="10"/>
        <v>1.6855439999999999</v>
      </c>
      <c r="N29" s="1">
        <f t="shared" si="11"/>
        <v>1.8962369999999997</v>
      </c>
      <c r="O29" s="1">
        <f t="shared" si="12"/>
        <v>1.4748510000000001</v>
      </c>
      <c r="P29" s="1">
        <f t="shared" si="13"/>
        <v>0.84277199999999997</v>
      </c>
      <c r="Q29" s="1">
        <f t="shared" si="14"/>
        <v>0.31603949999999997</v>
      </c>
      <c r="R29" s="1">
        <f t="shared" si="15"/>
        <v>0.1053465</v>
      </c>
      <c r="S29" s="4">
        <f t="shared" si="16"/>
        <v>0.21069299999999999</v>
      </c>
    </row>
    <row r="30" spans="1:19" ht="17" x14ac:dyDescent="0.2">
      <c r="A30" s="1" t="s">
        <v>29</v>
      </c>
      <c r="B30" s="1">
        <v>11.944800000000001</v>
      </c>
      <c r="C30" s="1">
        <f t="shared" si="0"/>
        <v>0.179172</v>
      </c>
      <c r="D30" s="1">
        <f t="shared" si="1"/>
        <v>0.179172</v>
      </c>
      <c r="E30" s="1">
        <f t="shared" si="2"/>
        <v>0.5972400000000001</v>
      </c>
      <c r="F30" s="1">
        <f t="shared" si="3"/>
        <v>0.9555840000000001</v>
      </c>
      <c r="G30" s="1">
        <f t="shared" si="4"/>
        <v>1.5528240000000002</v>
      </c>
      <c r="H30" s="1">
        <f t="shared" si="5"/>
        <v>1.3736520000000001</v>
      </c>
      <c r="I30" s="1">
        <f t="shared" si="6"/>
        <v>1.1347560000000001</v>
      </c>
      <c r="J30" s="1">
        <f t="shared" si="7"/>
        <v>0.89585999999999999</v>
      </c>
      <c r="K30" s="1">
        <f t="shared" si="8"/>
        <v>0.8361360000000001</v>
      </c>
      <c r="L30" s="1">
        <f t="shared" si="9"/>
        <v>0.89585999999999999</v>
      </c>
      <c r="M30" s="1">
        <f t="shared" si="10"/>
        <v>0.9555840000000001</v>
      </c>
      <c r="N30" s="1">
        <f t="shared" si="11"/>
        <v>1.075032</v>
      </c>
      <c r="O30" s="1">
        <f t="shared" si="12"/>
        <v>0.8361360000000001</v>
      </c>
      <c r="P30" s="1">
        <f t="shared" si="13"/>
        <v>0.47779200000000005</v>
      </c>
      <c r="Q30" s="1">
        <f t="shared" si="14"/>
        <v>0.179172</v>
      </c>
      <c r="R30" s="1">
        <f t="shared" si="15"/>
        <v>5.9724000000000006E-2</v>
      </c>
      <c r="S30" s="4">
        <f t="shared" si="16"/>
        <v>0.11944800000000001</v>
      </c>
    </row>
    <row r="31" spans="1:19" ht="17" x14ac:dyDescent="0.2">
      <c r="A31" s="1" t="s">
        <v>30</v>
      </c>
      <c r="B31" s="1">
        <v>33.843599999999995</v>
      </c>
      <c r="C31" s="1">
        <f t="shared" si="0"/>
        <v>0.50765399999999994</v>
      </c>
      <c r="D31" s="1">
        <f t="shared" si="1"/>
        <v>0.50765399999999994</v>
      </c>
      <c r="E31" s="1">
        <f t="shared" si="2"/>
        <v>1.6921799999999998</v>
      </c>
      <c r="F31" s="1">
        <f t="shared" si="3"/>
        <v>2.7074879999999997</v>
      </c>
      <c r="G31" s="1">
        <f t="shared" si="4"/>
        <v>4.3996679999999992</v>
      </c>
      <c r="H31" s="1">
        <f t="shared" si="5"/>
        <v>3.8920139999999996</v>
      </c>
      <c r="I31" s="1">
        <f t="shared" si="6"/>
        <v>3.2151419999999997</v>
      </c>
      <c r="J31" s="1">
        <f t="shared" si="7"/>
        <v>2.5382699999999994</v>
      </c>
      <c r="K31" s="1">
        <f t="shared" si="8"/>
        <v>2.3690519999999999</v>
      </c>
      <c r="L31" s="1">
        <f t="shared" si="9"/>
        <v>2.5382699999999994</v>
      </c>
      <c r="M31" s="1">
        <f t="shared" si="10"/>
        <v>2.7074879999999997</v>
      </c>
      <c r="N31" s="1">
        <f t="shared" si="11"/>
        <v>3.0459239999999994</v>
      </c>
      <c r="O31" s="1">
        <f t="shared" si="12"/>
        <v>2.3690519999999999</v>
      </c>
      <c r="P31" s="1">
        <f t="shared" si="13"/>
        <v>1.3537439999999998</v>
      </c>
      <c r="Q31" s="1">
        <f t="shared" si="14"/>
        <v>0.50765399999999994</v>
      </c>
      <c r="R31" s="1">
        <f t="shared" si="15"/>
        <v>0.16921799999999998</v>
      </c>
      <c r="S31" s="4">
        <f t="shared" si="16"/>
        <v>0.33843599999999996</v>
      </c>
    </row>
    <row r="32" spans="1:19" ht="17" x14ac:dyDescent="0.2">
      <c r="A32" s="1" t="s">
        <v>31</v>
      </c>
      <c r="B32" s="1">
        <v>21.235199999999999</v>
      </c>
      <c r="C32" s="1">
        <f t="shared" si="0"/>
        <v>0.31852799999999998</v>
      </c>
      <c r="D32" s="1">
        <f t="shared" si="1"/>
        <v>0.31852799999999998</v>
      </c>
      <c r="E32" s="1">
        <f t="shared" si="2"/>
        <v>1.06176</v>
      </c>
      <c r="F32" s="1">
        <f t="shared" si="3"/>
        <v>1.6988159999999999</v>
      </c>
      <c r="G32" s="1">
        <f t="shared" si="4"/>
        <v>2.7605759999999999</v>
      </c>
      <c r="H32" s="1">
        <f t="shared" si="5"/>
        <v>2.4420479999999998</v>
      </c>
      <c r="I32" s="1">
        <f t="shared" si="6"/>
        <v>2.017344</v>
      </c>
      <c r="J32" s="1">
        <f t="shared" si="7"/>
        <v>1.5926399999999998</v>
      </c>
      <c r="K32" s="1">
        <f t="shared" si="8"/>
        <v>1.486464</v>
      </c>
      <c r="L32" s="1">
        <f t="shared" si="9"/>
        <v>1.5926399999999998</v>
      </c>
      <c r="M32" s="1">
        <f t="shared" si="10"/>
        <v>1.6988159999999999</v>
      </c>
      <c r="N32" s="1">
        <f t="shared" si="11"/>
        <v>1.9111679999999998</v>
      </c>
      <c r="O32" s="1">
        <f t="shared" si="12"/>
        <v>1.486464</v>
      </c>
      <c r="P32" s="1">
        <f t="shared" si="13"/>
        <v>0.84940799999999994</v>
      </c>
      <c r="Q32" s="1">
        <f t="shared" si="14"/>
        <v>0.31852799999999998</v>
      </c>
      <c r="R32" s="1">
        <f t="shared" si="15"/>
        <v>0.10617599999999999</v>
      </c>
      <c r="S32" s="4">
        <f t="shared" si="16"/>
        <v>0.21235199999999999</v>
      </c>
    </row>
    <row r="33" spans="1:19" ht="17" x14ac:dyDescent="0.2">
      <c r="A33" s="1" t="s">
        <v>32</v>
      </c>
      <c r="B33" s="1">
        <v>12.2766</v>
      </c>
      <c r="C33" s="1">
        <f t="shared" si="0"/>
        <v>0.18414900000000001</v>
      </c>
      <c r="D33" s="1">
        <f t="shared" si="1"/>
        <v>0.18414900000000001</v>
      </c>
      <c r="E33" s="1">
        <f t="shared" si="2"/>
        <v>0.6138300000000001</v>
      </c>
      <c r="F33" s="1">
        <f t="shared" si="3"/>
        <v>0.982128</v>
      </c>
      <c r="G33" s="1">
        <f t="shared" si="4"/>
        <v>1.595958</v>
      </c>
      <c r="H33" s="1">
        <f t="shared" si="5"/>
        <v>1.4118090000000001</v>
      </c>
      <c r="I33" s="1">
        <f t="shared" si="6"/>
        <v>1.166277</v>
      </c>
      <c r="J33" s="1">
        <f t="shared" si="7"/>
        <v>0.92074499999999992</v>
      </c>
      <c r="K33" s="1">
        <f t="shared" si="8"/>
        <v>0.85936200000000007</v>
      </c>
      <c r="L33" s="1">
        <f t="shared" si="9"/>
        <v>0.92074499999999992</v>
      </c>
      <c r="M33" s="1">
        <f t="shared" si="10"/>
        <v>0.982128</v>
      </c>
      <c r="N33" s="1">
        <f t="shared" si="11"/>
        <v>1.104894</v>
      </c>
      <c r="O33" s="1">
        <f t="shared" si="12"/>
        <v>0.85936200000000007</v>
      </c>
      <c r="P33" s="1">
        <f t="shared" si="13"/>
        <v>0.491064</v>
      </c>
      <c r="Q33" s="1">
        <f t="shared" si="14"/>
        <v>0.18414900000000001</v>
      </c>
      <c r="R33" s="1">
        <f t="shared" si="15"/>
        <v>6.1383E-2</v>
      </c>
      <c r="S33" s="4">
        <f t="shared" si="16"/>
        <v>0.122766</v>
      </c>
    </row>
    <row r="34" spans="1:19" ht="17" x14ac:dyDescent="0.2">
      <c r="A34" s="1" t="s">
        <v>33</v>
      </c>
      <c r="B34" s="1">
        <v>22.230599999999999</v>
      </c>
      <c r="C34" s="1">
        <f t="shared" si="0"/>
        <v>0.33345899999999995</v>
      </c>
      <c r="D34" s="1">
        <f t="shared" si="1"/>
        <v>0.33345899999999995</v>
      </c>
      <c r="E34" s="1">
        <f t="shared" si="2"/>
        <v>1.1115299999999999</v>
      </c>
      <c r="F34" s="1">
        <f t="shared" si="3"/>
        <v>1.778448</v>
      </c>
      <c r="G34" s="1">
        <f t="shared" si="4"/>
        <v>2.8899780000000002</v>
      </c>
      <c r="H34" s="1">
        <f t="shared" si="5"/>
        <v>2.5565190000000002</v>
      </c>
      <c r="I34" s="1">
        <f t="shared" si="6"/>
        <v>2.111907</v>
      </c>
      <c r="J34" s="1">
        <f t="shared" si="7"/>
        <v>1.667295</v>
      </c>
      <c r="K34" s="1">
        <f t="shared" si="8"/>
        <v>1.5561420000000001</v>
      </c>
      <c r="L34" s="1">
        <f t="shared" si="9"/>
        <v>1.667295</v>
      </c>
      <c r="M34" s="1">
        <f t="shared" si="10"/>
        <v>1.778448</v>
      </c>
      <c r="N34" s="1">
        <f t="shared" si="11"/>
        <v>2.0007539999999997</v>
      </c>
      <c r="O34" s="1">
        <f t="shared" si="12"/>
        <v>1.5561420000000001</v>
      </c>
      <c r="P34" s="1">
        <f t="shared" si="13"/>
        <v>0.88922400000000001</v>
      </c>
      <c r="Q34" s="1">
        <f t="shared" si="14"/>
        <v>0.33345899999999995</v>
      </c>
      <c r="R34" s="1">
        <f t="shared" si="15"/>
        <v>0.111153</v>
      </c>
      <c r="S34" s="4">
        <f t="shared" si="16"/>
        <v>0.222306</v>
      </c>
    </row>
    <row r="35" spans="1:19" ht="17" x14ac:dyDescent="0.2">
      <c r="A35" s="1" t="s">
        <v>34</v>
      </c>
      <c r="B35" s="1">
        <v>49.935900000000004</v>
      </c>
      <c r="C35" s="1">
        <f t="shared" si="0"/>
        <v>0.74903850000000005</v>
      </c>
      <c r="D35" s="1">
        <f t="shared" si="1"/>
        <v>0.74903850000000005</v>
      </c>
      <c r="E35" s="1">
        <f t="shared" si="2"/>
        <v>2.4967950000000005</v>
      </c>
      <c r="F35" s="1">
        <f t="shared" si="3"/>
        <v>3.9948720000000004</v>
      </c>
      <c r="G35" s="1">
        <f t="shared" si="4"/>
        <v>6.4916670000000005</v>
      </c>
      <c r="H35" s="1">
        <f t="shared" si="5"/>
        <v>5.7426285000000004</v>
      </c>
      <c r="I35" s="1">
        <f t="shared" si="6"/>
        <v>4.7439105000000001</v>
      </c>
      <c r="J35" s="1">
        <f t="shared" si="7"/>
        <v>3.7451924999999999</v>
      </c>
      <c r="K35" s="1">
        <f t="shared" si="8"/>
        <v>3.4955130000000008</v>
      </c>
      <c r="L35" s="1">
        <f t="shared" si="9"/>
        <v>3.7451924999999999</v>
      </c>
      <c r="M35" s="1">
        <f t="shared" si="10"/>
        <v>3.9948720000000004</v>
      </c>
      <c r="N35" s="1">
        <f t="shared" si="11"/>
        <v>4.4942310000000001</v>
      </c>
      <c r="O35" s="1">
        <f t="shared" si="12"/>
        <v>3.4955130000000008</v>
      </c>
      <c r="P35" s="1">
        <f t="shared" si="13"/>
        <v>1.9974360000000002</v>
      </c>
      <c r="Q35" s="1">
        <f t="shared" si="14"/>
        <v>0.74903850000000005</v>
      </c>
      <c r="R35" s="1">
        <f t="shared" si="15"/>
        <v>0.24967950000000003</v>
      </c>
      <c r="S35" s="4">
        <f t="shared" si="16"/>
        <v>0.49935900000000005</v>
      </c>
    </row>
    <row r="36" spans="1:19" ht="17" x14ac:dyDescent="0.2">
      <c r="A36" s="1" t="s">
        <v>35</v>
      </c>
      <c r="B36" s="1">
        <v>41.972699999999996</v>
      </c>
      <c r="C36" s="1">
        <f t="shared" si="0"/>
        <v>0.62959049999999994</v>
      </c>
      <c r="D36" s="1">
        <f t="shared" si="1"/>
        <v>0.62959049999999994</v>
      </c>
      <c r="E36" s="1">
        <f t="shared" si="2"/>
        <v>2.0986349999999998</v>
      </c>
      <c r="F36" s="1">
        <f t="shared" si="3"/>
        <v>3.3578159999999997</v>
      </c>
      <c r="G36" s="1">
        <f t="shared" si="4"/>
        <v>5.4564509999999995</v>
      </c>
      <c r="H36" s="1">
        <f t="shared" si="5"/>
        <v>4.8268604999999996</v>
      </c>
      <c r="I36" s="1">
        <f t="shared" si="6"/>
        <v>3.9874064999999996</v>
      </c>
      <c r="J36" s="1">
        <f t="shared" si="7"/>
        <v>3.1479524999999997</v>
      </c>
      <c r="K36" s="1">
        <f t="shared" si="8"/>
        <v>2.9380890000000002</v>
      </c>
      <c r="L36" s="1">
        <f t="shared" si="9"/>
        <v>3.1479524999999997</v>
      </c>
      <c r="M36" s="1">
        <f t="shared" si="10"/>
        <v>3.3578159999999997</v>
      </c>
      <c r="N36" s="1">
        <f t="shared" si="11"/>
        <v>3.7775429999999997</v>
      </c>
      <c r="O36" s="1">
        <f t="shared" si="12"/>
        <v>2.9380890000000002</v>
      </c>
      <c r="P36" s="1">
        <f t="shared" si="13"/>
        <v>1.6789079999999998</v>
      </c>
      <c r="Q36" s="1">
        <f t="shared" si="14"/>
        <v>0.62959049999999994</v>
      </c>
      <c r="R36" s="1">
        <f t="shared" si="15"/>
        <v>0.20986349999999998</v>
      </c>
      <c r="S36" s="4">
        <f t="shared" si="16"/>
        <v>0.41972699999999996</v>
      </c>
    </row>
    <row r="37" spans="1:19" ht="17" x14ac:dyDescent="0.2">
      <c r="A37" s="1" t="s">
        <v>36</v>
      </c>
      <c r="B37" s="1">
        <v>28.700700000000001</v>
      </c>
      <c r="C37" s="1">
        <f t="shared" si="0"/>
        <v>0.43051050000000002</v>
      </c>
      <c r="D37" s="1">
        <f t="shared" si="1"/>
        <v>0.43051050000000002</v>
      </c>
      <c r="E37" s="1">
        <f t="shared" si="2"/>
        <v>1.4350350000000001</v>
      </c>
      <c r="F37" s="1">
        <f t="shared" si="3"/>
        <v>2.2960560000000001</v>
      </c>
      <c r="G37" s="1">
        <f t="shared" si="4"/>
        <v>3.7310910000000002</v>
      </c>
      <c r="H37" s="1">
        <f t="shared" si="5"/>
        <v>3.3005805000000001</v>
      </c>
      <c r="I37" s="1">
        <f t="shared" si="6"/>
        <v>2.7265665000000001</v>
      </c>
      <c r="J37" s="1">
        <f t="shared" si="7"/>
        <v>2.1525525000000001</v>
      </c>
      <c r="K37" s="1">
        <f t="shared" si="8"/>
        <v>2.0090490000000001</v>
      </c>
      <c r="L37" s="1">
        <f t="shared" si="9"/>
        <v>2.1525525000000001</v>
      </c>
      <c r="M37" s="1">
        <f t="shared" si="10"/>
        <v>2.2960560000000001</v>
      </c>
      <c r="N37" s="1">
        <f t="shared" si="11"/>
        <v>2.5830630000000001</v>
      </c>
      <c r="O37" s="1">
        <f t="shared" si="12"/>
        <v>2.0090490000000001</v>
      </c>
      <c r="P37" s="1">
        <f t="shared" si="13"/>
        <v>1.148028</v>
      </c>
      <c r="Q37" s="1">
        <f t="shared" si="14"/>
        <v>0.43051050000000002</v>
      </c>
      <c r="R37" s="1">
        <f t="shared" si="15"/>
        <v>0.14350350000000001</v>
      </c>
      <c r="S37" s="4">
        <f t="shared" si="16"/>
        <v>0.28700700000000001</v>
      </c>
    </row>
    <row r="38" spans="1:19" ht="17" x14ac:dyDescent="0.2">
      <c r="A38" s="1" t="s">
        <v>37</v>
      </c>
      <c r="B38" s="1">
        <v>49.935900000000004</v>
      </c>
      <c r="C38" s="1">
        <f t="shared" si="0"/>
        <v>0.74903850000000005</v>
      </c>
      <c r="D38" s="1">
        <f t="shared" si="1"/>
        <v>0.74903850000000005</v>
      </c>
      <c r="E38" s="1">
        <f t="shared" si="2"/>
        <v>2.4967950000000005</v>
      </c>
      <c r="F38" s="1">
        <f t="shared" si="3"/>
        <v>3.9948720000000004</v>
      </c>
      <c r="G38" s="1">
        <f t="shared" si="4"/>
        <v>6.4916670000000005</v>
      </c>
      <c r="H38" s="1">
        <f t="shared" si="5"/>
        <v>5.7426285000000004</v>
      </c>
      <c r="I38" s="1">
        <f t="shared" si="6"/>
        <v>4.7439105000000001</v>
      </c>
      <c r="J38" s="1">
        <f t="shared" si="7"/>
        <v>3.7451924999999999</v>
      </c>
      <c r="K38" s="1">
        <f t="shared" si="8"/>
        <v>3.4955130000000008</v>
      </c>
      <c r="L38" s="1">
        <f t="shared" si="9"/>
        <v>3.7451924999999999</v>
      </c>
      <c r="M38" s="1">
        <f t="shared" si="10"/>
        <v>3.9948720000000004</v>
      </c>
      <c r="N38" s="1">
        <f t="shared" si="11"/>
        <v>4.4942310000000001</v>
      </c>
      <c r="O38" s="1">
        <f t="shared" si="12"/>
        <v>3.4955130000000008</v>
      </c>
      <c r="P38" s="1">
        <f t="shared" si="13"/>
        <v>1.9974360000000002</v>
      </c>
      <c r="Q38" s="1">
        <f t="shared" si="14"/>
        <v>0.74903850000000005</v>
      </c>
      <c r="R38" s="1">
        <f t="shared" si="15"/>
        <v>0.24967950000000003</v>
      </c>
      <c r="S38" s="4">
        <f t="shared" si="16"/>
        <v>0.49935900000000005</v>
      </c>
    </row>
    <row r="39" spans="1:19" ht="17" x14ac:dyDescent="0.2">
      <c r="A39" s="1" t="s">
        <v>38</v>
      </c>
      <c r="B39" s="1">
        <v>28.700700000000001</v>
      </c>
      <c r="C39" s="1">
        <f t="shared" si="0"/>
        <v>0.43051050000000002</v>
      </c>
      <c r="D39" s="1">
        <f t="shared" si="1"/>
        <v>0.43051050000000002</v>
      </c>
      <c r="E39" s="1">
        <f t="shared" si="2"/>
        <v>1.4350350000000001</v>
      </c>
      <c r="F39" s="1">
        <f t="shared" si="3"/>
        <v>2.2960560000000001</v>
      </c>
      <c r="G39" s="1">
        <f t="shared" si="4"/>
        <v>3.7310910000000002</v>
      </c>
      <c r="H39" s="1">
        <f t="shared" si="5"/>
        <v>3.3005805000000001</v>
      </c>
      <c r="I39" s="1">
        <f t="shared" si="6"/>
        <v>2.7265665000000001</v>
      </c>
      <c r="J39" s="1">
        <f t="shared" si="7"/>
        <v>2.1525525000000001</v>
      </c>
      <c r="K39" s="1">
        <f t="shared" si="8"/>
        <v>2.0090490000000001</v>
      </c>
      <c r="L39" s="1">
        <f t="shared" si="9"/>
        <v>2.1525525000000001</v>
      </c>
      <c r="M39" s="1">
        <f t="shared" si="10"/>
        <v>2.2960560000000001</v>
      </c>
      <c r="N39" s="1">
        <f t="shared" si="11"/>
        <v>2.5830630000000001</v>
      </c>
      <c r="O39" s="1">
        <f t="shared" si="12"/>
        <v>2.0090490000000001</v>
      </c>
      <c r="P39" s="1">
        <f t="shared" si="13"/>
        <v>1.148028</v>
      </c>
      <c r="Q39" s="1">
        <f t="shared" si="14"/>
        <v>0.43051050000000002</v>
      </c>
      <c r="R39" s="1">
        <f t="shared" si="15"/>
        <v>0.14350350000000001</v>
      </c>
      <c r="S39" s="4">
        <f t="shared" si="16"/>
        <v>0.28700700000000001</v>
      </c>
    </row>
    <row r="40" spans="1:19" ht="17" x14ac:dyDescent="0.2">
      <c r="A40" s="1" t="s">
        <v>39</v>
      </c>
      <c r="B40" s="1">
        <v>60.387599999999999</v>
      </c>
      <c r="C40" s="1">
        <f t="shared" si="0"/>
        <v>0.9058139999999999</v>
      </c>
      <c r="D40" s="1">
        <f t="shared" si="1"/>
        <v>0.9058139999999999</v>
      </c>
      <c r="E40" s="1">
        <f t="shared" si="2"/>
        <v>3.01938</v>
      </c>
      <c r="F40" s="1">
        <f t="shared" si="3"/>
        <v>4.8310079999999997</v>
      </c>
      <c r="G40" s="1">
        <f t="shared" si="4"/>
        <v>7.8503880000000006</v>
      </c>
      <c r="H40" s="1">
        <f t="shared" si="5"/>
        <v>6.9445740000000002</v>
      </c>
      <c r="I40" s="1">
        <f t="shared" si="6"/>
        <v>5.7368220000000001</v>
      </c>
      <c r="J40" s="1">
        <f t="shared" si="7"/>
        <v>4.5290699999999999</v>
      </c>
      <c r="K40" s="1">
        <f t="shared" si="8"/>
        <v>4.2271320000000001</v>
      </c>
      <c r="L40" s="1">
        <f t="shared" si="9"/>
        <v>4.5290699999999999</v>
      </c>
      <c r="M40" s="1">
        <f t="shared" si="10"/>
        <v>4.8310079999999997</v>
      </c>
      <c r="N40" s="1">
        <f t="shared" si="11"/>
        <v>5.4348839999999994</v>
      </c>
      <c r="O40" s="1">
        <f t="shared" si="12"/>
        <v>4.2271320000000001</v>
      </c>
      <c r="P40" s="1">
        <f t="shared" si="13"/>
        <v>2.4155039999999999</v>
      </c>
      <c r="Q40" s="1">
        <f t="shared" si="14"/>
        <v>0.9058139999999999</v>
      </c>
      <c r="R40" s="1">
        <f t="shared" si="15"/>
        <v>0.30193799999999998</v>
      </c>
      <c r="S40" s="4">
        <f t="shared" si="16"/>
        <v>0.60387599999999997</v>
      </c>
    </row>
    <row r="41" spans="1:19" ht="17" x14ac:dyDescent="0.2">
      <c r="A41" s="1" t="s">
        <v>40</v>
      </c>
      <c r="B41" s="1">
        <v>55.078800000000001</v>
      </c>
      <c r="C41" s="1">
        <f t="shared" si="0"/>
        <v>0.82618199999999997</v>
      </c>
      <c r="D41" s="1">
        <f t="shared" si="1"/>
        <v>0.82618199999999997</v>
      </c>
      <c r="E41" s="1">
        <f t="shared" si="2"/>
        <v>2.7539400000000001</v>
      </c>
      <c r="F41" s="1">
        <f t="shared" si="3"/>
        <v>4.4063040000000004</v>
      </c>
      <c r="G41" s="1">
        <f t="shared" si="4"/>
        <v>7.1602440000000005</v>
      </c>
      <c r="H41" s="1">
        <f t="shared" si="5"/>
        <v>6.3340620000000003</v>
      </c>
      <c r="I41" s="1">
        <f t="shared" si="6"/>
        <v>5.2324859999999997</v>
      </c>
      <c r="J41" s="1">
        <f t="shared" si="7"/>
        <v>4.1309100000000001</v>
      </c>
      <c r="K41" s="1">
        <f t="shared" si="8"/>
        <v>3.8555160000000006</v>
      </c>
      <c r="L41" s="1">
        <f t="shared" si="9"/>
        <v>4.1309100000000001</v>
      </c>
      <c r="M41" s="1">
        <f t="shared" si="10"/>
        <v>4.4063040000000004</v>
      </c>
      <c r="N41" s="1">
        <f t="shared" si="11"/>
        <v>4.9570920000000003</v>
      </c>
      <c r="O41" s="1">
        <f t="shared" si="12"/>
        <v>3.8555160000000006</v>
      </c>
      <c r="P41" s="1">
        <f t="shared" si="13"/>
        <v>2.2031520000000002</v>
      </c>
      <c r="Q41" s="1">
        <f t="shared" si="14"/>
        <v>0.82618199999999997</v>
      </c>
      <c r="R41" s="1">
        <f t="shared" si="15"/>
        <v>0.27539400000000003</v>
      </c>
      <c r="S41" s="4">
        <f t="shared" si="16"/>
        <v>0.55078800000000006</v>
      </c>
    </row>
    <row r="42" spans="1:19" ht="17" x14ac:dyDescent="0.2">
      <c r="A42" s="1" t="s">
        <v>41</v>
      </c>
      <c r="B42" s="1">
        <v>52.424399999999999</v>
      </c>
      <c r="C42" s="1">
        <f t="shared" si="0"/>
        <v>0.7863659999999999</v>
      </c>
      <c r="D42" s="1">
        <f t="shared" si="1"/>
        <v>0.7863659999999999</v>
      </c>
      <c r="E42" s="1">
        <f t="shared" si="2"/>
        <v>2.6212200000000001</v>
      </c>
      <c r="F42" s="1">
        <f t="shared" si="3"/>
        <v>4.1939520000000003</v>
      </c>
      <c r="G42" s="1">
        <f t="shared" si="4"/>
        <v>6.8151720000000005</v>
      </c>
      <c r="H42" s="1">
        <f t="shared" si="5"/>
        <v>6.0288060000000003</v>
      </c>
      <c r="I42" s="1">
        <f t="shared" si="6"/>
        <v>4.9803179999999996</v>
      </c>
      <c r="J42" s="1">
        <f t="shared" si="7"/>
        <v>3.9318299999999997</v>
      </c>
      <c r="K42" s="1">
        <f t="shared" si="8"/>
        <v>3.6697080000000004</v>
      </c>
      <c r="L42" s="1">
        <f t="shared" si="9"/>
        <v>3.9318299999999997</v>
      </c>
      <c r="M42" s="1">
        <f t="shared" si="10"/>
        <v>4.1939520000000003</v>
      </c>
      <c r="N42" s="1">
        <f t="shared" si="11"/>
        <v>4.7181959999999998</v>
      </c>
      <c r="O42" s="1">
        <f t="shared" si="12"/>
        <v>3.6697080000000004</v>
      </c>
      <c r="P42" s="1">
        <f t="shared" si="13"/>
        <v>2.0969760000000002</v>
      </c>
      <c r="Q42" s="1">
        <f t="shared" si="14"/>
        <v>0.7863659999999999</v>
      </c>
      <c r="R42" s="1">
        <f t="shared" si="15"/>
        <v>0.26212200000000002</v>
      </c>
      <c r="S42" s="4">
        <f t="shared" si="16"/>
        <v>0.52424400000000004</v>
      </c>
    </row>
    <row r="43" spans="1:19" ht="17" x14ac:dyDescent="0.2">
      <c r="A43" s="1" t="s">
        <v>42</v>
      </c>
      <c r="B43" s="1">
        <v>29.3643</v>
      </c>
      <c r="C43" s="1">
        <f t="shared" si="0"/>
        <v>0.44046449999999998</v>
      </c>
      <c r="D43" s="1">
        <f t="shared" si="1"/>
        <v>0.44046449999999998</v>
      </c>
      <c r="E43" s="1">
        <f t="shared" si="2"/>
        <v>1.468215</v>
      </c>
      <c r="F43" s="1">
        <f t="shared" si="3"/>
        <v>2.3491439999999999</v>
      </c>
      <c r="G43" s="1">
        <f t="shared" si="4"/>
        <v>3.8173590000000002</v>
      </c>
      <c r="H43" s="1">
        <f t="shared" si="5"/>
        <v>3.3768945000000001</v>
      </c>
      <c r="I43" s="1">
        <f t="shared" si="6"/>
        <v>2.7896084999999999</v>
      </c>
      <c r="J43" s="1">
        <f t="shared" si="7"/>
        <v>2.2023224999999997</v>
      </c>
      <c r="K43" s="1">
        <f t="shared" si="8"/>
        <v>2.055501</v>
      </c>
      <c r="L43" s="1">
        <f t="shared" si="9"/>
        <v>2.2023224999999997</v>
      </c>
      <c r="M43" s="1">
        <f t="shared" si="10"/>
        <v>2.3491439999999999</v>
      </c>
      <c r="N43" s="1">
        <f t="shared" si="11"/>
        <v>2.6427869999999998</v>
      </c>
      <c r="O43" s="1">
        <f t="shared" si="12"/>
        <v>2.055501</v>
      </c>
      <c r="P43" s="1">
        <f t="shared" si="13"/>
        <v>1.1745719999999999</v>
      </c>
      <c r="Q43" s="1">
        <f t="shared" si="14"/>
        <v>0.44046449999999998</v>
      </c>
      <c r="R43" s="1">
        <f t="shared" si="15"/>
        <v>0.14682149999999999</v>
      </c>
      <c r="S43" s="4">
        <f t="shared" si="16"/>
        <v>0.29364299999999999</v>
      </c>
    </row>
    <row r="44" spans="1:19" x14ac:dyDescent="0.2">
      <c r="B44" s="1">
        <v>1636.7694000000001</v>
      </c>
      <c r="C44" s="1">
        <f t="shared" si="0"/>
        <v>24.551541</v>
      </c>
      <c r="D44" s="1">
        <f t="shared" si="1"/>
        <v>24.551541</v>
      </c>
      <c r="E44" s="1">
        <f t="shared" si="2"/>
        <v>81.838470000000015</v>
      </c>
      <c r="F44" s="1">
        <f t="shared" si="3"/>
        <v>130.941552</v>
      </c>
      <c r="G44" s="1">
        <f t="shared" si="4"/>
        <v>212.78002200000003</v>
      </c>
      <c r="H44" s="1">
        <f t="shared" si="5"/>
        <v>188.22848100000002</v>
      </c>
      <c r="I44" s="1">
        <f t="shared" si="6"/>
        <v>155.49309300000002</v>
      </c>
      <c r="J44" s="1">
        <f t="shared" si="7"/>
        <v>122.757705</v>
      </c>
      <c r="K44" s="1">
        <f t="shared" si="8"/>
        <v>114.57385800000002</v>
      </c>
      <c r="L44" s="1">
        <f t="shared" si="9"/>
        <v>122.757705</v>
      </c>
      <c r="M44" s="1">
        <f t="shared" si="10"/>
        <v>130.941552</v>
      </c>
      <c r="N44" s="1">
        <f t="shared" si="11"/>
        <v>147.309246</v>
      </c>
      <c r="O44" s="1">
        <f t="shared" si="12"/>
        <v>114.57385800000002</v>
      </c>
      <c r="P44" s="1">
        <f t="shared" si="13"/>
        <v>65.470776000000001</v>
      </c>
      <c r="Q44" s="1">
        <f t="shared" si="14"/>
        <v>24.551541</v>
      </c>
      <c r="R44" s="1">
        <f t="shared" si="15"/>
        <v>8.1838470000000001</v>
      </c>
      <c r="S44" s="4">
        <f t="shared" si="16"/>
        <v>16.367694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2026-01-17T15:47:19Z</dcterms:modified>
</cp:coreProperties>
</file>